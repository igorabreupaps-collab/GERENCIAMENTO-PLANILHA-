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esenhos" sheetId="2" state="visible" r:id="rId4"/>
    <sheet name="MDs" sheetId="3" state="visible" r:id="rId5"/>
    <sheet name="LMs" sheetId="4" state="visible" r:id="rId6"/>
    <sheet name="MCs" sheetId="5" state="visible" r:id="rId7"/>
    <sheet name="RIs" sheetId="6" state="visible" r:id="rId8"/>
    <sheet name="Controle" sheetId="7" state="visible" r:id="rId9"/>
    <sheet name="_DashboardTemplate" sheetId="8" state="hidden" r:id="rId10"/>
  </sheets>
  <definedNames>
    <definedName function="false" hidden="false" localSheetId="6" name="_xlnm.Print_Titles" vbProcedure="false">Controle!$2:$3</definedName>
    <definedName function="false" hidden="true" localSheetId="6" name="_xlnm._FilterDatabase" vbProcedure="false">Controle!$A$3:$AC$102</definedName>
    <definedName function="false" hidden="false" localSheetId="1" name="_xlnm.Print_Titles" vbProcedure="false">Desenhos!$4:$4</definedName>
    <definedName function="false" hidden="true" localSheetId="1" name="_xlnm._FilterDatabase" vbProcedure="false">Desenhos!$A$4:$K$92</definedName>
    <definedName function="false" hidden="false" localSheetId="3" name="_xlnm.Print_Titles" vbProcedure="false">LMs!$3:$3</definedName>
    <definedName function="false" hidden="true" localSheetId="3" name="_xlnm._FilterDatabase" vbProcedure="false">LMs!$A$3:$L$89</definedName>
    <definedName function="false" hidden="false" localSheetId="4" name="_xlnm.Print_Titles" vbProcedure="false">MCs!$3:$3</definedName>
    <definedName function="false" hidden="true" localSheetId="4" name="_xlnm._FilterDatabase" vbProcedure="false">MCs!$A$3:$L$98</definedName>
    <definedName function="false" hidden="false" localSheetId="2" name="_xlnm.Print_Titles" vbProcedure="false">MDs!$3:$3</definedName>
    <definedName function="false" hidden="true" localSheetId="2" name="_xlnm._FilterDatabase" vbProcedure="false">MDs!$A$3:$L$87</definedName>
    <definedName function="false" hidden="false" localSheetId="0" name="_xlnm.Print_Area" vbProcedure="false">Resumo!$B$1:$I$44</definedName>
    <definedName function="false" hidden="false" localSheetId="5" name="_xlnm.Print_Titles" vbProcedure="false">RIs!$3:$3</definedName>
    <definedName function="false" hidden="true" localSheetId="5" name="_xlnm._FilterDatabase" vbProcedure="false">RIs!$A$3:$Q$99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<sst xmlns="http://schemas.openxmlformats.org/spreadsheetml/2006/main" count="4593" uniqueCount="1440">
  <si>
    <t xml:space="preserve">MSI ENGENHARIA E TECNOLOGIA</t>
  </si>
  <si>
    <t xml:space="preserve">CONTRATO: 089/2026  — Ferro+ Mineração S.A — Sistema de Proteção contra Descargas Atmosféricas (SPDA)</t>
  </si>
  <si>
    <t xml:space="preserve">Resumo Geral — Painel de Acompanhamento</t>
  </si>
  <si>
    <t xml:space="preserve">Áreas monitoradas</t>
  </si>
  <si>
    <t xml:space="preserve">Conformes (SPDA Conforme)</t>
  </si>
  <si>
    <t xml:space="preserve">Em andamento</t>
  </si>
  <si>
    <t xml:space="preserve">Não conformes</t>
  </si>
  <si>
    <t xml:space="preserve">Paralisadas / Novo Projeto</t>
  </si>
  <si>
    <t xml:space="preserve">% Adequação média geral</t>
  </si>
  <si>
    <t xml:space="preserve">Pendências em aberto</t>
  </si>
  <si>
    <t xml:space="preserve">Laudos vencidos</t>
  </si>
  <si>
    <t xml:space="preserve">Laudos vencendo em 90 dias</t>
  </si>
  <si>
    <t xml:space="preserve">Inspeções (IS) vencidas</t>
  </si>
  <si>
    <t xml:space="preserve">Não conformidades registradas</t>
  </si>
  <si>
    <t xml:space="preserve">Não conformidades abertas</t>
  </si>
  <si>
    <t xml:space="preserve">Não conformidades corrigidas</t>
  </si>
  <si>
    <t xml:space="preserve">Distribuição de Status das Áreas Ativas</t>
  </si>
  <si>
    <t xml:space="preserve">Status</t>
  </si>
  <si>
    <t xml:space="preserve">Qtde</t>
  </si>
  <si>
    <t xml:space="preserve">SPDA Conforme</t>
  </si>
  <si>
    <t xml:space="preserve">SPDA Não Conforme</t>
  </si>
  <si>
    <t xml:space="preserve">Paralisado/Novo Projeto</t>
  </si>
  <si>
    <t xml:space="preserve">Documentação Técnica Emitida</t>
  </si>
  <si>
    <t xml:space="preserve">Tipo de Documento</t>
  </si>
  <si>
    <t xml:space="preserve">Qtde Emitida</t>
  </si>
  <si>
    <t xml:space="preserve">Desenhos (DE)</t>
  </si>
  <si>
    <t xml:space="preserve">Memoriais Descritivos (MD)</t>
  </si>
  <si>
    <t xml:space="preserve">Listas de Materiais (LM)</t>
  </si>
  <si>
    <t xml:space="preserve">Análises de Risco (MC)</t>
  </si>
  <si>
    <t xml:space="preserve">Relatórios de Inspeção (RI)</t>
  </si>
  <si>
    <t xml:space="preserve">Ferro+ - Ferro+ Mineração S.A</t>
  </si>
  <si>
    <t xml:space="preserve">CONTRATO:  089/2026 -  Empresa: MSI Engenharia e Tecnologia LTDA</t>
  </si>
  <si>
    <t xml:space="preserve">OBJETO: Prestação de serviços de engenharia em formato de contrato ‘guarda-chuva’ para elaboração de estudos de análise de Riscos de Descarga Elétrica Atmosférica nas instalações da CONTRATANTE, localizados nos estados Minas Gerais, Espírito</t>
  </si>
  <si>
    <t xml:space="preserve">Número</t>
  </si>
  <si>
    <t xml:space="preserve">Obs.:</t>
  </si>
  <si>
    <t xml:space="preserve">Descrição da Área </t>
  </si>
  <si>
    <t xml:space="preserve">Título 1</t>
  </si>
  <si>
    <t xml:space="preserve">Título 2</t>
  </si>
  <si>
    <t xml:space="preserve">Título 3</t>
  </si>
  <si>
    <t xml:space="preserve">Folhas</t>
  </si>
  <si>
    <t xml:space="preserve">Revisão</t>
  </si>
  <si>
    <t xml:space="preserve">Data de Emissão</t>
  </si>
  <si>
    <t xml:space="preserve">Número MSI</t>
  </si>
  <si>
    <t xml:space="preserve">Número J.Mendes</t>
  </si>
  <si>
    <t xml:space="preserve">K19-204-FER-DE-001</t>
  </si>
  <si>
    <t xml:space="preserve">Planta Moinho de Rolos</t>
  </si>
  <si>
    <t xml:space="preserve">PROJETO EXECUTIVO DO SISTEMA DE PROTEÇÃO CONTRA DESCARGAS ATMOSFÉRICAS (SPDA)</t>
  </si>
  <si>
    <t xml:space="preserve">PLANTA MOINHO DE ROLOS</t>
  </si>
  <si>
    <t xml:space="preserve">PLANTA BAIXA, COBERTURA, CORTES A-A' E B-B' COM VOLUME PROTEGIDO</t>
  </si>
  <si>
    <t xml:space="preserve">K19-204-FER-DE-002</t>
  </si>
  <si>
    <t xml:space="preserve">Container Gestão de Contratos</t>
  </si>
  <si>
    <t xml:space="preserve">CONTAINER GESTÃO DE CONTRATOS</t>
  </si>
  <si>
    <t xml:space="preserve">K19-204-FER-DE-003</t>
  </si>
  <si>
    <t xml:space="preserve">Container RH Portaria </t>
  </si>
  <si>
    <t xml:space="preserve">CONTAINER RH PORTARIA</t>
  </si>
  <si>
    <t xml:space="preserve">PLANTA BAIXA, COBERTURA, CORTE A-A' E VOLUME PROTEGIDO</t>
  </si>
  <si>
    <t xml:space="preserve">K19-204-FER-DE-004</t>
  </si>
  <si>
    <t xml:space="preserve">Container RH Restaurante</t>
  </si>
  <si>
    <t xml:space="preserve">CONTAINER RH RESTAURANTE</t>
  </si>
  <si>
    <t xml:space="preserve">K19-204-FER-DE-005</t>
  </si>
  <si>
    <t xml:space="preserve">Container Fiscal Portaria</t>
  </si>
  <si>
    <t xml:space="preserve">CONTAINER FISCAL PORTARIA</t>
  </si>
  <si>
    <t xml:space="preserve">K19-204-FER-DE-006</t>
  </si>
  <si>
    <t xml:space="preserve">Container da Parada de Segurança</t>
  </si>
  <si>
    <t xml:space="preserve">CONTAINER DA PARADA DE SEGURANÇA</t>
  </si>
  <si>
    <t xml:space="preserve">PLANTA BAIXA, COBERTURA, CORTES A-A', B-B' E VOLUME PROTEGIDO</t>
  </si>
  <si>
    <t xml:space="preserve">K19-204-FER-DE-007</t>
  </si>
  <si>
    <t xml:space="preserve">Container Geotecnia</t>
  </si>
  <si>
    <t xml:space="preserve">CONTAINER GEOTECNIA</t>
  </si>
  <si>
    <t xml:space="preserve">PLANTA BAIXA, COBERTURA E CORTE A-A' COM VOLUME PROTEGIDO</t>
  </si>
  <si>
    <t xml:space="preserve">K19-204-FER-DE-008</t>
  </si>
  <si>
    <t xml:space="preserve">Containers próximo a Planta Piloto ITM</t>
  </si>
  <si>
    <t xml:space="preserve">CONTAINERS PRÓXIMO A PLANTA PILOTO ITM</t>
  </si>
  <si>
    <t xml:space="preserve">PLANTA BAIXA, COBERTURA, CORTES A-A', B-B', C-C' E D-D' COM VOLUME PROTEGIDO</t>
  </si>
  <si>
    <t xml:space="preserve">K19-204-FER-DE-009</t>
  </si>
  <si>
    <t xml:space="preserve">Escritório Geologia/Geotecnia</t>
  </si>
  <si>
    <t xml:space="preserve">ESCRITÓRIO GEOLOGIA/GEOTECNIA</t>
  </si>
  <si>
    <t xml:space="preserve">K19-204-FER-DE-010</t>
  </si>
  <si>
    <t xml:space="preserve">Oficina Caldeiraria</t>
  </si>
  <si>
    <t xml:space="preserve">OFICINA CALDEIRARIA</t>
  </si>
  <si>
    <t xml:space="preserve">K19-204-FER-DE-011</t>
  </si>
  <si>
    <t xml:space="preserve">Tanque Ácido Filtragem</t>
  </si>
  <si>
    <t xml:space="preserve">TANQUE ÁCIDO FILTRAGEM</t>
  </si>
  <si>
    <t xml:space="preserve">PLANTA BAIXA, COBERTURA, CORTES A-A' COM VOLUME PROTEGIDO  </t>
  </si>
  <si>
    <t xml:space="preserve">K19-204-FER-DE-012</t>
  </si>
  <si>
    <t xml:space="preserve">Peneira Estática Mina</t>
  </si>
  <si>
    <t xml:space="preserve">PENEIRA ESTÁTICA MINA</t>
  </si>
  <si>
    <t xml:space="preserve">K19-204-FER-DE-013</t>
  </si>
  <si>
    <t xml:space="preserve">Área de Containers Contratadas</t>
  </si>
  <si>
    <t xml:space="preserve">ÁREA DE CONTAINERS CONTRATADAS</t>
  </si>
  <si>
    <t xml:space="preserve">K19-204-FER-DE-014</t>
  </si>
  <si>
    <t xml:space="preserve">Tenda Oficina de Veículos</t>
  </si>
  <si>
    <t xml:space="preserve">TENDA OFICINA DE VEÍCULOS</t>
  </si>
  <si>
    <t xml:space="preserve">K19-204-FER-DE-015</t>
  </si>
  <si>
    <t xml:space="preserve">Caixa Australiana 4</t>
  </si>
  <si>
    <t xml:space="preserve">CAIXA AUSTRALIANA 4</t>
  </si>
  <si>
    <t xml:space="preserve">K19-204-FER-DE-016</t>
  </si>
  <si>
    <t xml:space="preserve">Sala Equipe Civil</t>
  </si>
  <si>
    <t xml:space="preserve">SALA EQUIPE CIVIL</t>
  </si>
  <si>
    <t xml:space="preserve">K19-204-FER-DE-017</t>
  </si>
  <si>
    <t xml:space="preserve">Pátio de Reutilizáveis</t>
  </si>
  <si>
    <t xml:space="preserve">PÁTIO DE REUTILIZÁVEIS</t>
  </si>
  <si>
    <t xml:space="preserve">PLANTA BAIXA, COBERTURA, CORTES A-A' E B-B' COM VOLUME PROTEGIDO </t>
  </si>
  <si>
    <t xml:space="preserve">K19-204-FER-DE-018</t>
  </si>
  <si>
    <t xml:space="preserve">Área de Classificação próxima ao Container do Meio Ambiente</t>
  </si>
  <si>
    <t xml:space="preserve">ÁREA DE CLASSIFICAÇÃO PRÓXIMO AO CONTAINER DO MEIO AMBIENTE</t>
  </si>
  <si>
    <t xml:space="preserve">K19-204-FER-DE-019</t>
  </si>
  <si>
    <t xml:space="preserve">Oficina de Manutenção Peneiras Estáticas Cava Sul </t>
  </si>
  <si>
    <t xml:space="preserve">CONTAINER MANUTENÇÃO PENEIRA ESTÁTICA</t>
  </si>
  <si>
    <t xml:space="preserve">K19-204-FER-DE-020</t>
  </si>
  <si>
    <t xml:space="preserve">Ponto de Ônibus ITM</t>
  </si>
  <si>
    <t xml:space="preserve">PONTO DE ÔNIBUS ITM</t>
  </si>
  <si>
    <t xml:space="preserve">K19-204-FER-DE-021</t>
  </si>
  <si>
    <t xml:space="preserve">MG20210510755</t>
  </si>
  <si>
    <t xml:space="preserve">Classificação, Rebritagens 1 e 2, Espirais e SE 138kV/CCM</t>
  </si>
  <si>
    <t xml:space="preserve">CLASSIFICAÇÃO, REBRITAGENS 1 E 2, ESPIRAIS E SE 138KV/CCM</t>
  </si>
  <si>
    <t xml:space="preserve">PLANTA BAIXA, COBERTURA, CORTES A-A', B-B', C-C' E D-D' COM VOLUME PROTEGIDO </t>
  </si>
  <si>
    <t xml:space="preserve">K19-204-FER-DE-022</t>
  </si>
  <si>
    <t xml:space="preserve">Separador Magnético, Floculantes e Espessadores</t>
  </si>
  <si>
    <t xml:space="preserve">SEPARADOR MAGNÉTICO, FLOCULANTES E ESPESSADORES</t>
  </si>
  <si>
    <t xml:space="preserve">K19-204-FER-DE-023</t>
  </si>
  <si>
    <t xml:space="preserve">MG20210510899</t>
  </si>
  <si>
    <t xml:space="preserve">Britagem</t>
  </si>
  <si>
    <t xml:space="preserve">BRITAGEM</t>
  </si>
  <si>
    <t xml:space="preserve">K19-204-FER-DE-024</t>
  </si>
  <si>
    <t xml:space="preserve">Filtragem Cerâmica de Concentrado</t>
  </si>
  <si>
    <t xml:space="preserve">FILTRAGEM CERÂMICA DE CONCENTRADO</t>
  </si>
  <si>
    <t xml:space="preserve">K19-204-FER-DE-025</t>
  </si>
  <si>
    <t xml:space="preserve">Planta Piloto ITM</t>
  </si>
  <si>
    <t xml:space="preserve">PLANTA PILOTO ITM</t>
  </si>
  <si>
    <t xml:space="preserve">K19-204-FER-DE-026</t>
  </si>
  <si>
    <t xml:space="preserve">Fábrica de Placas e Container Meio Ambiente</t>
  </si>
  <si>
    <t xml:space="preserve">FÁBRICA DE PLACAS E CONTAINER MEIO AMBIENTE</t>
  </si>
  <si>
    <t xml:space="preserve">K19-204-FER-DE-027</t>
  </si>
  <si>
    <t xml:space="preserve">Portaria 2</t>
  </si>
  <si>
    <t xml:space="preserve">PORTARIA 2</t>
  </si>
  <si>
    <t xml:space="preserve">K19-204-FER-DE-028</t>
  </si>
  <si>
    <t xml:space="preserve">Poço Artesiano 1</t>
  </si>
  <si>
    <t xml:space="preserve">POÇO ARTESIANO 1</t>
  </si>
  <si>
    <t xml:space="preserve">PLANTA BAIXA, COBERTURA E CORTE A A' COM VOLUME PROTEGIDO</t>
  </si>
  <si>
    <t xml:space="preserve">K19-204-FER-DE-029</t>
  </si>
  <si>
    <t xml:space="preserve">Apanhador de Água</t>
  </si>
  <si>
    <t xml:space="preserve">APANHADOR DE ÁGUA </t>
  </si>
  <si>
    <t xml:space="preserve">K19-204-FER-DE-030</t>
  </si>
  <si>
    <t xml:space="preserve">Smartmine e Operação Mina</t>
  </si>
  <si>
    <t xml:space="preserve">SMARTMINE E OPERAÇÃO MINA</t>
  </si>
  <si>
    <t xml:space="preserve">K19-204-FER-DE-031</t>
  </si>
  <si>
    <t xml:space="preserve">Tenda Almoxarifado</t>
  </si>
  <si>
    <t xml:space="preserve">TENDA ALMOXARIFADO</t>
  </si>
  <si>
    <t xml:space="preserve">K19-204-FER-DE-032</t>
  </si>
  <si>
    <t xml:space="preserve">Oficina de Equipamentos</t>
  </si>
  <si>
    <t xml:space="preserve">OFICINA DE EQUIPAMENTOS</t>
  </si>
  <si>
    <t xml:space="preserve">PLANTA BAIXA, COBERTURA, CORTE A-A' E VOLUME PROTEGIDO B-B'</t>
  </si>
  <si>
    <t xml:space="preserve">K19-204-FER-DE-033</t>
  </si>
  <si>
    <t xml:space="preserve">Posto de Combustível</t>
  </si>
  <si>
    <t xml:space="preserve">POSTO DE COMBUSTÍVEL</t>
  </si>
  <si>
    <t xml:space="preserve">K19-204-FER-DE-034</t>
  </si>
  <si>
    <t xml:space="preserve">Depósito de Resíduos</t>
  </si>
  <si>
    <t xml:space="preserve">DEPÓSITO DE RESÍDUOS</t>
  </si>
  <si>
    <t xml:space="preserve">K19-204-FER-DE-035</t>
  </si>
  <si>
    <t xml:space="preserve">Depósito de Produtos Químicos</t>
  </si>
  <si>
    <t xml:space="preserve">K19-204-FER-DE-036</t>
  </si>
  <si>
    <t xml:space="preserve">Peneiras Cava sul</t>
  </si>
  <si>
    <t xml:space="preserve">CANTEIRO DE OBRAS CONTRATADAS VMF</t>
  </si>
  <si>
    <t xml:space="preserve">PLANTA BAIXA, COBERTURA, CORTE A-A' E CORTE B-B' COM VOLUME PROTEGIDO</t>
  </si>
  <si>
    <t xml:space="preserve">K19-204-FER-DE-037</t>
  </si>
  <si>
    <t xml:space="preserve">MG20210427181</t>
  </si>
  <si>
    <t xml:space="preserve">Nova ETE Oficina</t>
  </si>
  <si>
    <t xml:space="preserve">NOVA ETE OFICINA</t>
  </si>
  <si>
    <t xml:space="preserve">PLANTA BAIXA, COBERTURA, CORTES A-A' E B-B'</t>
  </si>
  <si>
    <t xml:space="preserve">K19-204-FER-DE-038</t>
  </si>
  <si>
    <t xml:space="preserve">MG20210510720</t>
  </si>
  <si>
    <t xml:space="preserve">Nova ETE Principal</t>
  </si>
  <si>
    <t xml:space="preserve">NOVA ETE PRINCIPAL</t>
  </si>
  <si>
    <t xml:space="preserve">K19-204-FER-DE-039</t>
  </si>
  <si>
    <t xml:space="preserve">MG20210510928</t>
  </si>
  <si>
    <t xml:space="preserve">Novo DIR (Depósito Intermediário de Resíduos)</t>
  </si>
  <si>
    <t xml:space="preserve">NOVO DIR (DEPÓSITO INTERMEDIÁRIO DE RESÍDUOS)</t>
  </si>
  <si>
    <t xml:space="preserve">PLANTA BAIXA, COBERTURA, CORTES A-A', B-B' E C-C' COM VOLUME PROTEGIDO</t>
  </si>
  <si>
    <t xml:space="preserve">K19-204-FER-DE-040 </t>
  </si>
  <si>
    <t xml:space="preserve">MG20210427221</t>
  </si>
  <si>
    <t xml:space="preserve">Canteiro de obras contratadas VMF</t>
  </si>
  <si>
    <t xml:space="preserve">K19-204-FER-DE-041 </t>
  </si>
  <si>
    <t xml:space="preserve">MG20210510983</t>
  </si>
  <si>
    <t xml:space="preserve">Mirante</t>
  </si>
  <si>
    <t xml:space="preserve">MIRANTE</t>
  </si>
  <si>
    <t xml:space="preserve">K19-204-FER-DE-042</t>
  </si>
  <si>
    <t xml:space="preserve">MG20210427245</t>
  </si>
  <si>
    <t xml:space="preserve">Container Recepção da Portaria</t>
  </si>
  <si>
    <t xml:space="preserve">CONTAINER RECEPÇÃO PORTARIA </t>
  </si>
  <si>
    <t xml:space="preserve">PLANTA BAIXA, COBERTURA, CORTES A-A' E B-B' </t>
  </si>
  <si>
    <t xml:space="preserve">K19-204-FER-DE-043</t>
  </si>
  <si>
    <t xml:space="preserve">6492312 e 20210601153</t>
  </si>
  <si>
    <t xml:space="preserve">Canteiro de obras contratadas</t>
  </si>
  <si>
    <t xml:space="preserve">K19-204-FER-DE-044</t>
  </si>
  <si>
    <t xml:space="preserve">MG20210511031</t>
  </si>
  <si>
    <t xml:space="preserve">Laboratório </t>
  </si>
  <si>
    <t xml:space="preserve">LABORATÓRIO</t>
  </si>
  <si>
    <t xml:space="preserve">K19-204-FER-DE-045</t>
  </si>
  <si>
    <t xml:space="preserve">MG20210511059</t>
  </si>
  <si>
    <t xml:space="preserve">Container RH</t>
  </si>
  <si>
    <t xml:space="preserve">CONTAINER RH </t>
  </si>
  <si>
    <t xml:space="preserve">K19-204-FER-DE-046</t>
  </si>
  <si>
    <t xml:space="preserve">MG20210427353</t>
  </si>
  <si>
    <t xml:space="preserve">Tenda Pátio Container Contratadas</t>
  </si>
  <si>
    <t xml:space="preserve">TENDA CONTRATADAS</t>
  </si>
  <si>
    <t xml:space="preserve">K19-204-FER-DE-047</t>
  </si>
  <si>
    <t xml:space="preserve">MG20210369334</t>
  </si>
  <si>
    <t xml:space="preserve">Novo Peneiramento</t>
  </si>
  <si>
    <t xml:space="preserve">NOVO PENEIRAMENTO</t>
  </si>
  <si>
    <t xml:space="preserve">K19-204-FER-DE-048</t>
  </si>
  <si>
    <t xml:space="preserve">MG20210511177</t>
  </si>
  <si>
    <t xml:space="preserve">Captação Josino - Bombas</t>
  </si>
  <si>
    <t xml:space="preserve">K19-204-FER-DE-049</t>
  </si>
  <si>
    <t xml:space="preserve">MG20210511192</t>
  </si>
  <si>
    <t xml:space="preserve">Planta Geração GMG</t>
  </si>
  <si>
    <t xml:space="preserve">PLANTA GERAÇÃO GMG</t>
  </si>
  <si>
    <t xml:space="preserve">K19-204-FER-DE-050</t>
  </si>
  <si>
    <t xml:space="preserve">Guarita Patio de Sucatas</t>
  </si>
  <si>
    <t xml:space="preserve">GUARITA PÁTIO DE SUCATAS</t>
  </si>
  <si>
    <t xml:space="preserve">K19-204-FER-DE-051</t>
  </si>
  <si>
    <t xml:space="preserve">Poço de Captação Pires</t>
  </si>
  <si>
    <t xml:space="preserve">POÇO DE CAPTAÇÃO PIRES</t>
  </si>
  <si>
    <t xml:space="preserve">K19-204-FER-DE-052</t>
  </si>
  <si>
    <t xml:space="preserve">Canteiro de Obras das Torres</t>
  </si>
  <si>
    <t xml:space="preserve">K19-204-FER-DE-053</t>
  </si>
  <si>
    <t xml:space="preserve">MG20210768456</t>
  </si>
  <si>
    <t xml:space="preserve">Nova Balança Rodoviária</t>
  </si>
  <si>
    <t xml:space="preserve">NOVA BALANÇA RODOVIÁRIA</t>
  </si>
  <si>
    <t xml:space="preserve">PLANTA BAIXA E CORTE A-A'</t>
  </si>
  <si>
    <t xml:space="preserve">K19-204-FER-DE-054</t>
  </si>
  <si>
    <t xml:space="preserve">Escritório PCM do OEM</t>
  </si>
  <si>
    <t xml:space="preserve">ESCRITÓRIO PCM DO OEM</t>
  </si>
  <si>
    <t xml:space="preserve">K19-204-FER-DE-055</t>
  </si>
  <si>
    <t xml:space="preserve">Contêiner Peneira 1</t>
  </si>
  <si>
    <t xml:space="preserve">CONTEINER PENEIRA 1</t>
  </si>
  <si>
    <t xml:space="preserve">K19-204-FER-DE-056</t>
  </si>
  <si>
    <t xml:space="preserve">MG20220907789</t>
  </si>
  <si>
    <t xml:space="preserve">Contêiner Elétrica</t>
  </si>
  <si>
    <t xml:space="preserve">CONTEINER ELÉTRICA </t>
  </si>
  <si>
    <t xml:space="preserve">K19-204-FER-DE-057</t>
  </si>
  <si>
    <t xml:space="preserve">MG20220908158</t>
  </si>
  <si>
    <t xml:space="preserve">Lavador de Rodas</t>
  </si>
  <si>
    <t xml:space="preserve">K19-204-FER-DE-058</t>
  </si>
  <si>
    <t xml:space="preserve">MG20220908184</t>
  </si>
  <si>
    <t xml:space="preserve">Contêiner Ferramentaria PCM ITM</t>
  </si>
  <si>
    <t xml:space="preserve">CONTEINER FERRAMENTARIA PCM ITM</t>
  </si>
  <si>
    <t xml:space="preserve">K19-204-FER-DE-059</t>
  </si>
  <si>
    <t xml:space="preserve">Contêiner PM-05</t>
  </si>
  <si>
    <t xml:space="preserve">CONTEINER PM-05</t>
  </si>
  <si>
    <t xml:space="preserve">K19-204-FER-DE-060</t>
  </si>
  <si>
    <t xml:space="preserve">Torre de Telecomunicações TI/Meio Ambiente</t>
  </si>
  <si>
    <t xml:space="preserve">TORRE DE TELECOMUNICACAO</t>
  </si>
  <si>
    <t xml:space="preserve">PLANTA BAIXA, COBERTURA, CORTE A-A' COM VOLUME PROTEGIDO</t>
  </si>
  <si>
    <t xml:space="preserve">K19-204-FER-DE-061</t>
  </si>
  <si>
    <t xml:space="preserve">Novas Tendas da Oficina de Equipamentos moveis </t>
  </si>
  <si>
    <t xml:space="preserve">NOVAS TENDAS OEM</t>
  </si>
  <si>
    <t xml:space="preserve">K19-204-FER-DE-062</t>
  </si>
  <si>
    <t xml:space="preserve">Oficina PM-04</t>
  </si>
  <si>
    <t xml:space="preserve">OFICINA PM-04</t>
  </si>
  <si>
    <t xml:space="preserve">K19-204-FER-DE-063</t>
  </si>
  <si>
    <t xml:space="preserve">Filtragem de Prensa</t>
  </si>
  <si>
    <t xml:space="preserve">ELETROCENTRO FILTRAGEM DE PRENSA</t>
  </si>
  <si>
    <t xml:space="preserve">K19-204-FER-DE-064</t>
  </si>
  <si>
    <t xml:space="preserve">Torre de Radar</t>
  </si>
  <si>
    <t xml:space="preserve">TORRE DE RADAR</t>
  </si>
  <si>
    <t xml:space="preserve">K19-204-FER-DE-065</t>
  </si>
  <si>
    <t xml:space="preserve">Galpão de Ácido Nitrico e Tanques Agitadores</t>
  </si>
  <si>
    <t xml:space="preserve">GALPÃO DE ÁCIDO NÍTRICO E TANQUES AGITADORES</t>
  </si>
  <si>
    <t xml:space="preserve">K19-204-FER-DE-066</t>
  </si>
  <si>
    <t xml:space="preserve">Área de vivência ED Pavimentações </t>
  </si>
  <si>
    <t xml:space="preserve">ÁREA DE VIVÊNCIA ED PAVIMENTAÇÕES</t>
  </si>
  <si>
    <t xml:space="preserve">K19-204-FER-DE-067</t>
  </si>
  <si>
    <t xml:space="preserve">Classificação / Nova Moagem</t>
  </si>
  <si>
    <t xml:space="preserve">CENTRO DE TREINAMENTOS</t>
  </si>
  <si>
    <t xml:space="preserve">K19-204-FER-DE-068</t>
  </si>
  <si>
    <t xml:space="preserve">Eletrocentro Bombeamento de Água </t>
  </si>
  <si>
    <t xml:space="preserve">K19-204-FER-DE-069</t>
  </si>
  <si>
    <t xml:space="preserve">Centro de Treinamentos</t>
  </si>
  <si>
    <t xml:space="preserve">K19-204-FER-DE-070</t>
  </si>
  <si>
    <t xml:space="preserve">Novo Almoxarifado</t>
  </si>
  <si>
    <t xml:space="preserve">K19-204-FER-DE-071</t>
  </si>
  <si>
    <t xml:space="preserve">Casa de Máquinas e Torre de Resfriamento</t>
  </si>
  <si>
    <t xml:space="preserve">CASA DE MÁQUINAS E TORRE DE RESFRIAMENTO</t>
  </si>
  <si>
    <t xml:space="preserve">K19-204-FER-DE-072</t>
  </si>
  <si>
    <t xml:space="preserve">Contêiner Guarita Logistica Estacionamento </t>
  </si>
  <si>
    <t xml:space="preserve">K19-204-FER-DE-073</t>
  </si>
  <si>
    <t xml:space="preserve">MG20231837984</t>
  </si>
  <si>
    <t xml:space="preserve">Contêineres do Peneiramento Móvel</t>
  </si>
  <si>
    <t xml:space="preserve">CONTÊINERES DO PENEIRAMENTO MÓVEL</t>
  </si>
  <si>
    <t xml:space="preserve">K19-204-FER-DE-074</t>
  </si>
  <si>
    <t xml:space="preserve">Escritório, Vestiários e Quiosque</t>
  </si>
  <si>
    <t xml:space="preserve">ESCRITÓRIO, VESTIÁRIOS E QUIOSQUE</t>
  </si>
  <si>
    <t xml:space="preserve">PLANTA BAIXA, COBERTURA, CORTES A-A' B-B' C-C' E D-D' COM VOLUME PROTEGIDO</t>
  </si>
  <si>
    <t xml:space="preserve">K19-204-FER-DE-075</t>
  </si>
  <si>
    <t xml:space="preserve">Escritório Administrativo 2</t>
  </si>
  <si>
    <t xml:space="preserve">ESCRITÓRIO ADMINISTRATIVO 2</t>
  </si>
  <si>
    <t xml:space="preserve">K19-204-FER-DE-076</t>
  </si>
  <si>
    <t xml:space="preserve">Logística</t>
  </si>
  <si>
    <t xml:space="preserve">LOGÍSTICA</t>
  </si>
  <si>
    <t xml:space="preserve">K19-204-FER-DE-077</t>
  </si>
  <si>
    <t xml:space="preserve">Portaria 1</t>
  </si>
  <si>
    <t xml:space="preserve">PORTARIA 1</t>
  </si>
  <si>
    <t xml:space="preserve">K19-204-FER-DE-078</t>
  </si>
  <si>
    <t xml:space="preserve">Contêiner Logística Portaria</t>
  </si>
  <si>
    <t xml:space="preserve">CONTÊINER LOGÍSTICA PORTARIA</t>
  </si>
  <si>
    <t xml:space="preserve">K19-204-FER-DE-079</t>
  </si>
  <si>
    <t xml:space="preserve">Poço Artesiano 3</t>
  </si>
  <si>
    <t xml:space="preserve">POÇO ARTESIANO 3</t>
  </si>
  <si>
    <t xml:space="preserve">K19-204-FER-DE-080</t>
  </si>
  <si>
    <t xml:space="preserve">Poço Artesiano 2</t>
  </si>
  <si>
    <t xml:space="preserve">POÇO ARTESIANO 2</t>
  </si>
  <si>
    <t xml:space="preserve">K19-204-FER-DE-081</t>
  </si>
  <si>
    <t xml:space="preserve">Balança de Caminhão Traçado</t>
  </si>
  <si>
    <t xml:space="preserve">BALANÇA DE CAMINHÃO TRAÇADO</t>
  </si>
  <si>
    <t xml:space="preserve">K19-204-FER-DE-082</t>
  </si>
  <si>
    <t xml:space="preserve">Container Guarita SESMT</t>
  </si>
  <si>
    <t xml:space="preserve">CONTEINER GUARITA SESMT</t>
  </si>
  <si>
    <t xml:space="preserve">K19-204-FER-DE-083</t>
  </si>
  <si>
    <t xml:space="preserve">Canteiro Contratadas da Nova Britagem</t>
  </si>
  <si>
    <t xml:space="preserve">CANTEIRO CONTRATADAS DA NOVA BRITAGEM</t>
  </si>
  <si>
    <t xml:space="preserve">K19-204-FER-DE-084</t>
  </si>
  <si>
    <t xml:space="preserve">Pátio de Armação VMF</t>
  </si>
  <si>
    <t xml:space="preserve">PÁTIO DE ARMAÇÃO VMF</t>
  </si>
  <si>
    <t xml:space="preserve">K19-204-FER-DE-085</t>
  </si>
  <si>
    <t xml:space="preserve">Contêiner do Pátio de Equipamentos</t>
  </si>
  <si>
    <t xml:space="preserve">CONTEINER DO PÁTIO DE EQUIPAMENTOS </t>
  </si>
  <si>
    <t xml:space="preserve">K19-204-FER-DE-086</t>
  </si>
  <si>
    <t xml:space="preserve">Guarita Implementação de Projetos</t>
  </si>
  <si>
    <t xml:space="preserve">GUARITA IMPLEMENTAÇÃO DE PROJETOS</t>
  </si>
  <si>
    <t xml:space="preserve">K19-204-FER-DE-087</t>
  </si>
  <si>
    <t xml:space="preserve">Tenda da Moagem</t>
  </si>
  <si>
    <t xml:space="preserve">TENDA DA MOAGEM</t>
  </si>
  <si>
    <t xml:space="preserve">K19-204-FER-DE-088</t>
  </si>
  <si>
    <t xml:space="preserve">Torre de Telecomunicação Nascente</t>
  </si>
  <si>
    <t xml:space="preserve">TORRE DE TELECOMUNICAÇÃO NASCENTE</t>
  </si>
  <si>
    <t xml:space="preserve">Platô Administrativo</t>
  </si>
  <si>
    <t xml:space="preserve">PLATO ADMINISTRATIVO</t>
  </si>
  <si>
    <t xml:space="preserve">ART</t>
  </si>
  <si>
    <t xml:space="preserve">Título 4</t>
  </si>
  <si>
    <t xml:space="preserve">Título 5</t>
  </si>
  <si>
    <t xml:space="preserve">Título 6</t>
  </si>
  <si>
    <t xml:space="preserve">K19-204-FER-MD-001</t>
  </si>
  <si>
    <t xml:space="preserve">PROJETO EXECUTIVO </t>
  </si>
  <si>
    <t xml:space="preserve">FERRO+ MINERAÇÃO S.A</t>
  </si>
  <si>
    <t xml:space="preserve">SPDA / ATERRAMENTO</t>
  </si>
  <si>
    <t xml:space="preserve">MEMORIAL DESCRITIVO DO PROJETO DE SPDA </t>
  </si>
  <si>
    <t xml:space="preserve">K19-204-FER-MD-002</t>
  </si>
  <si>
    <t xml:space="preserve">K19-204-FER-MD-003</t>
  </si>
  <si>
    <t xml:space="preserve">K19-204-FER-MD-004</t>
  </si>
  <si>
    <t xml:space="preserve">K19-204-FER-MD-005</t>
  </si>
  <si>
    <t xml:space="preserve">K19-204-FER-MD-006</t>
  </si>
  <si>
    <t xml:space="preserve">K19-204-FER-MD-007</t>
  </si>
  <si>
    <t xml:space="preserve">K19-204-FER-MD-008</t>
  </si>
  <si>
    <t xml:space="preserve">K19-204-FER-MD-009</t>
  </si>
  <si>
    <t xml:space="preserve">K19-204-FER-MD-010</t>
  </si>
  <si>
    <t xml:space="preserve">K19-204-FER-MD-011</t>
  </si>
  <si>
    <t xml:space="preserve">K19-204-FER-MD-012</t>
  </si>
  <si>
    <t xml:space="preserve">K19-204-FER-MD-013</t>
  </si>
  <si>
    <t xml:space="preserve">K19-204-FER-MD-014</t>
  </si>
  <si>
    <t xml:space="preserve">K19-204-FER-MD-015</t>
  </si>
  <si>
    <t xml:space="preserve">K19-204-FER-MD-016</t>
  </si>
  <si>
    <t xml:space="preserve">K19-204-FER-MD-017</t>
  </si>
  <si>
    <t xml:space="preserve">K19-204-FER-MD-018</t>
  </si>
  <si>
    <t xml:space="preserve">Área Classificação próximo ao Meio Ambiente</t>
  </si>
  <si>
    <t xml:space="preserve">ÁREA CLASSIFICAÇÃO PRÓXIMO AO MEIO AMBIENTE</t>
  </si>
  <si>
    <t xml:space="preserve">K19-204-FER-MD-019</t>
  </si>
  <si>
    <t xml:space="preserve">Container Manutenção Peneira Estática</t>
  </si>
  <si>
    <t xml:space="preserve">K19-204-FER-MD-020</t>
  </si>
  <si>
    <t xml:space="preserve">Ponto de Ônibus </t>
  </si>
  <si>
    <t xml:space="preserve">PONTO DE ÔNIBUS</t>
  </si>
  <si>
    <t xml:space="preserve">K19-204-FER-MD-021</t>
  </si>
  <si>
    <t xml:space="preserve">Rebritagens 1 e 2, Espirais e SE 138kV/CCM</t>
  </si>
  <si>
    <t xml:space="preserve">REBRITAGENS 1 E 2, ESPIRAIS E SE 138KV/CCM</t>
  </si>
  <si>
    <t xml:space="preserve">K19-204-FER-MD-022</t>
  </si>
  <si>
    <t xml:space="preserve">K19-204-FER-MD-023</t>
  </si>
  <si>
    <t xml:space="preserve">K19-204-FER-MD-024</t>
  </si>
  <si>
    <t xml:space="preserve">K19-204-FER-MD-025</t>
  </si>
  <si>
    <t xml:space="preserve">K19-204-FER-MD-026</t>
  </si>
  <si>
    <t xml:space="preserve">K19-204-FER-MD-027</t>
  </si>
  <si>
    <t xml:space="preserve">K19-204-FER-MD-028</t>
  </si>
  <si>
    <t xml:space="preserve">Poço Artesiano </t>
  </si>
  <si>
    <t xml:space="preserve">POÇO ARTESIANO</t>
  </si>
  <si>
    <t xml:space="preserve">K19-204-FER-MD-029</t>
  </si>
  <si>
    <t xml:space="preserve">Apanhador de Água do Poço 3</t>
  </si>
  <si>
    <t xml:space="preserve">APANHADOR DE ÁGUA DO POÇO 3</t>
  </si>
  <si>
    <t xml:space="preserve">K19-204-FER-MD-030</t>
  </si>
  <si>
    <t xml:space="preserve">K19-204-FER-MD-031</t>
  </si>
  <si>
    <t xml:space="preserve">K19-204-FER-MD-032</t>
  </si>
  <si>
    <t xml:space="preserve">K19-204-FER-MD-033</t>
  </si>
  <si>
    <t xml:space="preserve">K19-204-FER-MD-034</t>
  </si>
  <si>
    <t xml:space="preserve">K19-204-FER-MD-035</t>
  </si>
  <si>
    <t xml:space="preserve">DEPÓSITO DE PRODUTOS QUÍMICOS</t>
  </si>
  <si>
    <t xml:space="preserve">K19-204-FER-MD-036</t>
  </si>
  <si>
    <t xml:space="preserve">Peneiras Cava Sul</t>
  </si>
  <si>
    <t xml:space="preserve">PENEIRAS CAVA SUL</t>
  </si>
  <si>
    <t xml:space="preserve">K19-204-FER-MD-037</t>
  </si>
  <si>
    <t xml:space="preserve">MG202101427181</t>
  </si>
  <si>
    <t xml:space="preserve">K19-204-FER-MD-038</t>
  </si>
  <si>
    <t xml:space="preserve">K19-204-FER-MD-039</t>
  </si>
  <si>
    <t xml:space="preserve">K19-204-FER-MD-040</t>
  </si>
  <si>
    <t xml:space="preserve">MG202101427221</t>
  </si>
  <si>
    <t xml:space="preserve">Canteiro de Obras Contratadas VMF</t>
  </si>
  <si>
    <t xml:space="preserve">K19-204-FER-MD-041</t>
  </si>
  <si>
    <t xml:space="preserve">K19-204-FER-MD-042</t>
  </si>
  <si>
    <t xml:space="preserve">MG202101427245</t>
  </si>
  <si>
    <t xml:space="preserve">K19-204-FER-MD-043</t>
  </si>
  <si>
    <t xml:space="preserve">Patio Contratadas</t>
  </si>
  <si>
    <t xml:space="preserve">PATIO CONTRATADAS  </t>
  </si>
  <si>
    <t xml:space="preserve">K19-204-FER-MD-044</t>
  </si>
  <si>
    <t xml:space="preserve">PROJETO EXECUTIVO</t>
  </si>
  <si>
    <t xml:space="preserve">K19-204-FER-MD-045</t>
  </si>
  <si>
    <t xml:space="preserve">Conteineres RH</t>
  </si>
  <si>
    <t xml:space="preserve">ANÁLISE DE RISCO DO PROJETO DE SPDA</t>
  </si>
  <si>
    <t xml:space="preserve">K19-204-FER-MD-046</t>
  </si>
  <si>
    <t xml:space="preserve">MG202101427353</t>
  </si>
  <si>
    <t xml:space="preserve">K19-204-FER-MD-047</t>
  </si>
  <si>
    <t xml:space="preserve">K19-204-FER-MD-048</t>
  </si>
  <si>
    <t xml:space="preserve">K19-204-FER-MD-049</t>
  </si>
  <si>
    <t xml:space="preserve">PLANTA GERAÇÃO</t>
  </si>
  <si>
    <t xml:space="preserve">K19-204-FER-MD-050</t>
  </si>
  <si>
    <t xml:space="preserve">GUARITA PATIO DE SUCATAS</t>
  </si>
  <si>
    <t xml:space="preserve">K19-204-FER-MD-051</t>
  </si>
  <si>
    <t xml:space="preserve">Poco de Captacao Pires</t>
  </si>
  <si>
    <t xml:space="preserve">POCO DE CAPTACAO PIRES</t>
  </si>
  <si>
    <t xml:space="preserve">K19-204-FER-MD-052</t>
  </si>
  <si>
    <t xml:space="preserve">CANTEIRO DE OBRAS DAS TORRES</t>
  </si>
  <si>
    <t xml:space="preserve">K19-204-FER-MD-053</t>
  </si>
  <si>
    <t xml:space="preserve">K19-204-FER-MD-054</t>
  </si>
  <si>
    <t xml:space="preserve">K19-204-FER-MD-055</t>
  </si>
  <si>
    <t xml:space="preserve">Conteiner Peneira 1</t>
  </si>
  <si>
    <t xml:space="preserve">K19-204-FER-MD-056</t>
  </si>
  <si>
    <t xml:space="preserve">Conteiner Elétrica</t>
  </si>
  <si>
    <t xml:space="preserve">CONTEINER ELÉTRICA</t>
  </si>
  <si>
    <t xml:space="preserve">K19-204-FER-MD-057</t>
  </si>
  <si>
    <t xml:space="preserve">Lavador de rodas</t>
  </si>
  <si>
    <t xml:space="preserve">LAVADOR DE RODAS</t>
  </si>
  <si>
    <t xml:space="preserve">K19-204-FER-MD-058</t>
  </si>
  <si>
    <t xml:space="preserve">K19-204-FER-MD-059</t>
  </si>
  <si>
    <t xml:space="preserve">K19-204-FER-MD-060</t>
  </si>
  <si>
    <t xml:space="preserve">K19-204-FER-MD-061</t>
  </si>
  <si>
    <t xml:space="preserve">K19-204-FER-MD-062</t>
  </si>
  <si>
    <t xml:space="preserve">K19-204-FER-MD-063</t>
  </si>
  <si>
    <t xml:space="preserve">K19-204-FER-MD-064</t>
  </si>
  <si>
    <t xml:space="preserve">Eletrocentro Bombas de água </t>
  </si>
  <si>
    <t xml:space="preserve">ELETROCENTRO BOMBAS DE ÁGUA</t>
  </si>
  <si>
    <t xml:space="preserve">K19-204-FER-MD-065</t>
  </si>
  <si>
    <t xml:space="preserve">Centro de Treinamentos </t>
  </si>
  <si>
    <t xml:space="preserve">K19-204-FER-MD-066</t>
  </si>
  <si>
    <t xml:space="preserve">CONTEINERES DO PENEIRAMENTO MÓVEL</t>
  </si>
  <si>
    <t xml:space="preserve">K19-204-FER-MD-067</t>
  </si>
  <si>
    <t xml:space="preserve">Eletrocentro Filtragem de Prensa</t>
  </si>
  <si>
    <t xml:space="preserve">K19-204-FER-MD-068</t>
  </si>
  <si>
    <t xml:space="preserve">Contêiner Manuteção Mecânica ITM</t>
  </si>
  <si>
    <t xml:space="preserve">CONTEINER MANUTENÇÃO MECANICA ITM</t>
  </si>
  <si>
    <t xml:space="preserve">K19-204-FER-MD-069</t>
  </si>
  <si>
    <t xml:space="preserve">K19-204-FER-MD-070</t>
  </si>
  <si>
    <t xml:space="preserve">K19-204-FER-MD-071</t>
  </si>
  <si>
    <t xml:space="preserve">NOVO ALMOXARIFADO</t>
  </si>
  <si>
    <t xml:space="preserve">K19-204-FER-MD-072</t>
  </si>
  <si>
    <t xml:space="preserve">Poço Artesiano de Trabalho 3</t>
  </si>
  <si>
    <t xml:space="preserve">POÇO ARTESIANO DE TRABALHO 3</t>
  </si>
  <si>
    <t xml:space="preserve">K19-204-FER-MD-073</t>
  </si>
  <si>
    <t xml:space="preserve">CONTEINER LOGISTICA PORTARIA</t>
  </si>
  <si>
    <t xml:space="preserve">K19-204-FER-MD-074</t>
  </si>
  <si>
    <t xml:space="preserve">K19-204-FER-MD-075</t>
  </si>
  <si>
    <t xml:space="preserve">Portaria Leste</t>
  </si>
  <si>
    <t xml:space="preserve">PORTARIA LESTE</t>
  </si>
  <si>
    <t xml:space="preserve">K19-204-FER-MD-076</t>
  </si>
  <si>
    <t xml:space="preserve">K19-204-FER-MD-077</t>
  </si>
  <si>
    <t xml:space="preserve">K19-204-FER-MD-078</t>
  </si>
  <si>
    <t xml:space="preserve">Contêineres Adm</t>
  </si>
  <si>
    <t xml:space="preserve">CONTEINERES ADM</t>
  </si>
  <si>
    <t xml:space="preserve">K19-204-FER-MD-079</t>
  </si>
  <si>
    <t xml:space="preserve">K19-204-FER-MD-080</t>
  </si>
  <si>
    <t xml:space="preserve">K19-204-FER-MD-081</t>
  </si>
  <si>
    <t xml:space="preserve">K19-204-FER-MD-082</t>
  </si>
  <si>
    <t xml:space="preserve">K19-204-FER-MD-083</t>
  </si>
  <si>
    <t xml:space="preserve">K19-204-FER-MD-084</t>
  </si>
  <si>
    <t xml:space="preserve">K19-204-FER-LM-001</t>
  </si>
  <si>
    <t xml:space="preserve">LISTA DE MATERIAIS DO PROJETO DE SPDA </t>
  </si>
  <si>
    <t xml:space="preserve">K19-204-FER-LM-002</t>
  </si>
  <si>
    <t xml:space="preserve">K19-204-FER-LM-003</t>
  </si>
  <si>
    <t xml:space="preserve">Container RH Portaria</t>
  </si>
  <si>
    <t xml:space="preserve">K19-204-FER-LM-004</t>
  </si>
  <si>
    <t xml:space="preserve">K19-204-FER-LM-005</t>
  </si>
  <si>
    <t xml:space="preserve">K19-204-FER-LM-006</t>
  </si>
  <si>
    <t xml:space="preserve">K19-204-FER-LM-007</t>
  </si>
  <si>
    <t xml:space="preserve">Container da Geotecnica</t>
  </si>
  <si>
    <t xml:space="preserve">CONTAINER DA GEOTECNICA</t>
  </si>
  <si>
    <t xml:space="preserve">K19-204-FER-LM-008</t>
  </si>
  <si>
    <t xml:space="preserve">Containers Próximo a Planta Piloto</t>
  </si>
  <si>
    <t xml:space="preserve">CONTAINERS PRÓXIMO A PLANTA PILOTO </t>
  </si>
  <si>
    <t xml:space="preserve">K19-204-FER-LM-009</t>
  </si>
  <si>
    <t xml:space="preserve">Escritório - Geologia/Geologia</t>
  </si>
  <si>
    <t xml:space="preserve">ESCRITÓRIO GEOLOGIA/GEOLOGIA</t>
  </si>
  <si>
    <t xml:space="preserve">K19-204-FER-LM-010</t>
  </si>
  <si>
    <t xml:space="preserve">K19-204-FER-LM-011</t>
  </si>
  <si>
    <t xml:space="preserve">Tanque Ácido Filtragem </t>
  </si>
  <si>
    <t xml:space="preserve">K19-204-FER-LM-012</t>
  </si>
  <si>
    <t xml:space="preserve">K19-204-FER-LM-013</t>
  </si>
  <si>
    <t xml:space="preserve">Área de Canteiros de Obras</t>
  </si>
  <si>
    <t xml:space="preserve">ÁREA DE CANTEIROS DE OBRAS</t>
  </si>
  <si>
    <t xml:space="preserve">K19-204-FER-LM-014</t>
  </si>
  <si>
    <t xml:space="preserve">Tendas Oficinas de Veículos</t>
  </si>
  <si>
    <t xml:space="preserve">TENDAS OFICINAS DE VEÍCULOS</t>
  </si>
  <si>
    <t xml:space="preserve">K19-204-FER-LM-015</t>
  </si>
  <si>
    <t xml:space="preserve">Caixa Australiana 04</t>
  </si>
  <si>
    <t xml:space="preserve">CAIXA AUSTRALIANA 04</t>
  </si>
  <si>
    <t xml:space="preserve">K19-204-FER-LM-016</t>
  </si>
  <si>
    <t xml:space="preserve">K19-204-FER-LM-017</t>
  </si>
  <si>
    <t xml:space="preserve">K19-204-FER-LM-018</t>
  </si>
  <si>
    <t xml:space="preserve">Área de Classificação Próxima ao Container do Meio Ambiente</t>
  </si>
  <si>
    <t xml:space="preserve">ÁREA DE CLASSIFICAÇÃO PRÓXIMA AO CONTAINER DO MEIO AMBIENTE</t>
  </si>
  <si>
    <t xml:space="preserve">K19-204-FER-LM-019</t>
  </si>
  <si>
    <t xml:space="preserve">Container de Manutenção Peneiras Estáticas</t>
  </si>
  <si>
    <t xml:space="preserve">CONTAINER DE MANUTENÇÃO PENEIRAS ESTÁTICAS</t>
  </si>
  <si>
    <t xml:space="preserve">K19-204-FER-LM-020</t>
  </si>
  <si>
    <t xml:space="preserve">K19-204-FER-LM-021</t>
  </si>
  <si>
    <t xml:space="preserve">Classificação, Rebritagens 1 e 2, Espirais e Subestação 138KV - CCM</t>
  </si>
  <si>
    <t xml:space="preserve">CLASSIFICAÇÃO, REBRITAGENS 1 E 2, ESPIRAIS E SUBESTAÇÃO 138KV - CCM</t>
  </si>
  <si>
    <t xml:space="preserve">K19-204-FER-LM-022</t>
  </si>
  <si>
    <t xml:space="preserve">K19-204-FER-LM-023</t>
  </si>
  <si>
    <t xml:space="preserve">K19-204-FER-LM-024</t>
  </si>
  <si>
    <t xml:space="preserve">K19-204-FER-LM-025</t>
  </si>
  <si>
    <t xml:space="preserve">K19-204-FER-LM-026</t>
  </si>
  <si>
    <t xml:space="preserve">K19-204-FER-LM-027</t>
  </si>
  <si>
    <t xml:space="preserve">K19-204-FER-LM-028</t>
  </si>
  <si>
    <t xml:space="preserve">K19-204-FER-LM-029</t>
  </si>
  <si>
    <t xml:space="preserve">K19-204-FER-LM-030</t>
  </si>
  <si>
    <t xml:space="preserve">K19-204-FER-LM-031</t>
  </si>
  <si>
    <t xml:space="preserve">K19-204-FER-LM-032</t>
  </si>
  <si>
    <t xml:space="preserve">K19-204-FER-LM-033</t>
  </si>
  <si>
    <t xml:space="preserve">K19-204-FER-LM-034</t>
  </si>
  <si>
    <t xml:space="preserve">K19-204-FER-LM-035</t>
  </si>
  <si>
    <t xml:space="preserve">K19-204-FER-LM-036</t>
  </si>
  <si>
    <t xml:space="preserve">K19-204-FER-LM-037</t>
  </si>
  <si>
    <t xml:space="preserve">K19-204-FER-LM-038</t>
  </si>
  <si>
    <t xml:space="preserve">K19-204-FER-LM-039</t>
  </si>
  <si>
    <t xml:space="preserve">K19-204-FER-LM-040</t>
  </si>
  <si>
    <t xml:space="preserve">Canteiro de Obra Contratadas VMF</t>
  </si>
  <si>
    <t xml:space="preserve">K19-204-FER-LM-041</t>
  </si>
  <si>
    <t xml:space="preserve">K19-204-FER-LM-042</t>
  </si>
  <si>
    <t xml:space="preserve">CONTAINER RECEPÇÃO DA PORTARIA </t>
  </si>
  <si>
    <t xml:space="preserve">K19-204-FER-LM-043</t>
  </si>
  <si>
    <t xml:space="preserve">Pátio Contratadas</t>
  </si>
  <si>
    <t xml:space="preserve">PÁTIO CONTRATADAS </t>
  </si>
  <si>
    <t xml:space="preserve">K19-204-FER-LM-044</t>
  </si>
  <si>
    <t xml:space="preserve">Laboratório</t>
  </si>
  <si>
    <t xml:space="preserve">K19-204-FER-LM-045</t>
  </si>
  <si>
    <t xml:space="preserve">CONTEINERES RH</t>
  </si>
  <si>
    <t xml:space="preserve">K19-204-FER-LM-046</t>
  </si>
  <si>
    <t xml:space="preserve">K19-204-FER-LM-047</t>
  </si>
  <si>
    <t xml:space="preserve">K19-204-FER-LM-048</t>
  </si>
  <si>
    <t xml:space="preserve">CAPTAÇÃO JOSINO -BOMBAS</t>
  </si>
  <si>
    <t xml:space="preserve">K19-204-FER-LM-049</t>
  </si>
  <si>
    <t xml:space="preserve">K19-204-FER-LM-050</t>
  </si>
  <si>
    <t xml:space="preserve">Guarita Pátio Sucatas</t>
  </si>
  <si>
    <t xml:space="preserve">GUARITA PÁTIO SUCATAS</t>
  </si>
  <si>
    <t xml:space="preserve">K19-204-FER-LM-051</t>
  </si>
  <si>
    <t xml:space="preserve">K19-204-FER-LM-052</t>
  </si>
  <si>
    <t xml:space="preserve">K19-204-FER-LM-053</t>
  </si>
  <si>
    <t xml:space="preserve">K19-204-FER-LM-054</t>
  </si>
  <si>
    <t xml:space="preserve">K19-204-FER-LM-055</t>
  </si>
  <si>
    <t xml:space="preserve">Conteiner Peneira1</t>
  </si>
  <si>
    <t xml:space="preserve">K19-204-FER-LM-056</t>
  </si>
  <si>
    <t xml:space="preserve">K19-204-FER-LM-057</t>
  </si>
  <si>
    <t xml:space="preserve">K19-204-FER-LM-058</t>
  </si>
  <si>
    <t xml:space="preserve">K19-204-FER-LM-059</t>
  </si>
  <si>
    <t xml:space="preserve">K19-204-FER-LM-060</t>
  </si>
  <si>
    <t xml:space="preserve">K19-204-FER-LM-061</t>
  </si>
  <si>
    <t xml:space="preserve">K19-204-FER-LM-062</t>
  </si>
  <si>
    <t xml:space="preserve">K19-204-FER-LM</t>
  </si>
  <si>
    <t xml:space="preserve">Geral Grupo 2 - 021 a 036</t>
  </si>
  <si>
    <t xml:space="preserve">GERAL</t>
  </si>
  <si>
    <t xml:space="preserve">Geral Grupo 2 - 001 a 020</t>
  </si>
  <si>
    <t xml:space="preserve">K19-204-FER-LM-063</t>
  </si>
  <si>
    <t xml:space="preserve">K19-204-FER-LM-064</t>
  </si>
  <si>
    <t xml:space="preserve">Eletrocentro Bombeamento de agua </t>
  </si>
  <si>
    <t xml:space="preserve">K19-204-FER-LM-065</t>
  </si>
  <si>
    <t xml:space="preserve">K19-204-FER-LM-066</t>
  </si>
  <si>
    <t xml:space="preserve">K19-204-FER-LM-067</t>
  </si>
  <si>
    <t xml:space="preserve">K19-204-FER-LM-068</t>
  </si>
  <si>
    <t xml:space="preserve">K19-204-FER-LM-069</t>
  </si>
  <si>
    <t xml:space="preserve">K19-204-FER-LM-070</t>
  </si>
  <si>
    <t xml:space="preserve">K19-204-FER-LM-071</t>
  </si>
  <si>
    <t xml:space="preserve">K19-204-FER-LM-072</t>
  </si>
  <si>
    <t xml:space="preserve">K19-204-FER-LM-073</t>
  </si>
  <si>
    <t xml:space="preserve">K19-204-FER-LM-074</t>
  </si>
  <si>
    <t xml:space="preserve">K19-204-FER-LM-075</t>
  </si>
  <si>
    <t xml:space="preserve">K19-204-FER-LM-076</t>
  </si>
  <si>
    <t xml:space="preserve">K19-204-FER-LM-077</t>
  </si>
  <si>
    <t xml:space="preserve">K19-204-FER-LM-078</t>
  </si>
  <si>
    <t xml:space="preserve">K19-204-FER-LM-079</t>
  </si>
  <si>
    <t xml:space="preserve">K19-204-FER-LM-080</t>
  </si>
  <si>
    <t xml:space="preserve">K19-204-FER-LM-081</t>
  </si>
  <si>
    <t xml:space="preserve">K19-204-FER-LM-082</t>
  </si>
  <si>
    <t xml:space="preserve">K19-204-FER-LM-083</t>
  </si>
  <si>
    <t xml:space="preserve">K19-204-FER-LM-084</t>
  </si>
  <si>
    <t xml:space="preserve">K19-204-FER-MC-001</t>
  </si>
  <si>
    <t xml:space="preserve">Classificação</t>
  </si>
  <si>
    <t xml:space="preserve">PROJETO BASICO</t>
  </si>
  <si>
    <t xml:space="preserve">CLASSIFICAÇÃO</t>
  </si>
  <si>
    <t xml:space="preserve">K19-204-FER-MC-002</t>
  </si>
  <si>
    <t xml:space="preserve">Separação Magnética</t>
  </si>
  <si>
    <t xml:space="preserve">SEPARAÇÃO MAGNÉTICA</t>
  </si>
  <si>
    <t xml:space="preserve">K19-204-FER-MC-003</t>
  </si>
  <si>
    <t xml:space="preserve">Britagem </t>
  </si>
  <si>
    <t xml:space="preserve">K19-204-FER-MC-004</t>
  </si>
  <si>
    <t xml:space="preserve">K19-204-FER-MC-005</t>
  </si>
  <si>
    <t xml:space="preserve">Filtragem e Eletrocentro Prensa de Rejeito</t>
  </si>
  <si>
    <t xml:space="preserve">FILTRAGEM E ELETROCENTRO PRENSA DE REJEITO</t>
  </si>
  <si>
    <t xml:space="preserve">K19-204-FER-MC-006</t>
  </si>
  <si>
    <t xml:space="preserve">Escritório Administrativo 1</t>
  </si>
  <si>
    <t xml:space="preserve">ESCRITÓRIO ADMINISTRATIVO 1</t>
  </si>
  <si>
    <t xml:space="preserve">K19-204-FER-MC-008</t>
  </si>
  <si>
    <t xml:space="preserve">Geologia/Geotecnia</t>
  </si>
  <si>
    <t xml:space="preserve">GEOLOGIA / GEOTECNIA</t>
  </si>
  <si>
    <t xml:space="preserve">K19-204-FER-MC-009</t>
  </si>
  <si>
    <t xml:space="preserve">K19-204-FER-MC-010</t>
  </si>
  <si>
    <t xml:space="preserve">K19-204-FER-MC-011</t>
  </si>
  <si>
    <t xml:space="preserve">Portaria 1 e Lavador de Rodas</t>
  </si>
  <si>
    <t xml:space="preserve">PORTARIA 1 E LAVADOR DE RODAS</t>
  </si>
  <si>
    <t xml:space="preserve">K19-204-FER-MC-012</t>
  </si>
  <si>
    <t xml:space="preserve">K19-204-FER-MC-013</t>
  </si>
  <si>
    <t xml:space="preserve">Contêineres Próximos à Portaria 1</t>
  </si>
  <si>
    <t xml:space="preserve">CONTÊINERES PRÓXIMOS À PORTARIA 1</t>
  </si>
  <si>
    <t xml:space="preserve">K19-204-FER-MC-014</t>
  </si>
  <si>
    <t xml:space="preserve">Quiosque</t>
  </si>
  <si>
    <t xml:space="preserve">QUIOSQUE</t>
  </si>
  <si>
    <t xml:space="preserve">K19-204-FER-MC-015</t>
  </si>
  <si>
    <t xml:space="preserve">K19-204-FER-MC-016</t>
  </si>
  <si>
    <t xml:space="preserve">Área de Canteiro de Obras</t>
  </si>
  <si>
    <t xml:space="preserve">K19-204-FER-MC-018</t>
  </si>
  <si>
    <t xml:space="preserve">Caixas Australianas</t>
  </si>
  <si>
    <t xml:space="preserve">CAIXAS AUSTRALIANAS</t>
  </si>
  <si>
    <t xml:space="preserve">K19-204-FER-MC-019</t>
  </si>
  <si>
    <t xml:space="preserve">Logística e TI</t>
  </si>
  <si>
    <t xml:space="preserve">LOGÍSTICA E TI</t>
  </si>
  <si>
    <t xml:space="preserve">K19-204-FER-MC-020</t>
  </si>
  <si>
    <t xml:space="preserve">Área da Balança</t>
  </si>
  <si>
    <t xml:space="preserve">ÁREA DA BALANÇA</t>
  </si>
  <si>
    <t xml:space="preserve">K19-204-FER-MC-021</t>
  </si>
  <si>
    <t xml:space="preserve">K19-204-FER-MC-022</t>
  </si>
  <si>
    <t xml:space="preserve">Pátio de Reutilizaveis</t>
  </si>
  <si>
    <t xml:space="preserve">PÁTIO DE REUTILIZAVEIS</t>
  </si>
  <si>
    <t xml:space="preserve">K19-204-FER-MC-023</t>
  </si>
  <si>
    <t xml:space="preserve">K19-204-FER-MC-024</t>
  </si>
  <si>
    <t xml:space="preserve">Restaurante e Vestiário</t>
  </si>
  <si>
    <t xml:space="preserve">RESTAURANTE E VESTIÁRIO</t>
  </si>
  <si>
    <t xml:space="preserve">K19-204-FER-MC-025</t>
  </si>
  <si>
    <t xml:space="preserve">Área das Peneiras da Mina</t>
  </si>
  <si>
    <t xml:space="preserve">ÁREA DAS PENEIRAS DA MINA</t>
  </si>
  <si>
    <t xml:space="preserve">K19-204-FER-MC-026</t>
  </si>
  <si>
    <t xml:space="preserve">Ponto de Ônibus</t>
  </si>
  <si>
    <t xml:space="preserve">K19-204-FER-MC-027</t>
  </si>
  <si>
    <t xml:space="preserve">Área de Classificação Próxima ao Meio Ambiente</t>
  </si>
  <si>
    <t xml:space="preserve">ÁREA DE CLASSIFICAÇÃO PRÓXIMA AO MEIO AMBIENTE</t>
  </si>
  <si>
    <t xml:space="preserve">K19-204-FER-MC-028</t>
  </si>
  <si>
    <t xml:space="preserve">Parada de Segurança</t>
  </si>
  <si>
    <t xml:space="preserve">PARADA DE SEGURANÇA</t>
  </si>
  <si>
    <t xml:space="preserve">K19-204-FER-MC-030</t>
  </si>
  <si>
    <t xml:space="preserve">Almoxarifado e Depósito de Materiais</t>
  </si>
  <si>
    <t xml:space="preserve">ALMOXARIFADO E DEPÓSITO DE MATERIAIS</t>
  </si>
  <si>
    <t xml:space="preserve">K19-204-FER-MC-031</t>
  </si>
  <si>
    <t xml:space="preserve">Oficina ITM</t>
  </si>
  <si>
    <t xml:space="preserve">OFICINA ITM</t>
  </si>
  <si>
    <t xml:space="preserve">K19-204-FER-MC-032</t>
  </si>
  <si>
    <t xml:space="preserve">Captação Sítio</t>
  </si>
  <si>
    <t xml:space="preserve">CAPTAÇÃO SÍTIO</t>
  </si>
  <si>
    <t xml:space="preserve">K19-204-FER-MC-033</t>
  </si>
  <si>
    <t xml:space="preserve">Josino</t>
  </si>
  <si>
    <t xml:space="preserve">JOSINO</t>
  </si>
  <si>
    <t xml:space="preserve">K19-204-FER-MC-034</t>
  </si>
  <si>
    <t xml:space="preserve">Smartmine e Container Gestão Contratos</t>
  </si>
  <si>
    <t xml:space="preserve">SMARTMINE E CONTAINER GESTÃO CONTRATOS</t>
  </si>
  <si>
    <t xml:space="preserve">K19-204-FER-MC-035</t>
  </si>
  <si>
    <t xml:space="preserve">K19-204-FER-MC-036</t>
  </si>
  <si>
    <t xml:space="preserve">Galpão de Treinamento</t>
  </si>
  <si>
    <t xml:space="preserve">GALPÃO DE TREINAMENTO</t>
  </si>
  <si>
    <t xml:space="preserve">K19-204-FER-MC-037</t>
  </si>
  <si>
    <t xml:space="preserve">K19-204-FER-MC-038</t>
  </si>
  <si>
    <t xml:space="preserve">K19-204-FER-MC-039</t>
  </si>
  <si>
    <t xml:space="preserve">K19-204-FER-MC-040</t>
  </si>
  <si>
    <t xml:space="preserve">Rebritagens 1 e 2 </t>
  </si>
  <si>
    <t xml:space="preserve">REBRITAGENS 1 E 2</t>
  </si>
  <si>
    <t xml:space="preserve">K19-204-FER-MC-041</t>
  </si>
  <si>
    <t xml:space="preserve">Espirais</t>
  </si>
  <si>
    <t xml:space="preserve">ESPIRAIS</t>
  </si>
  <si>
    <t xml:space="preserve">K19-204-FER-MC-042</t>
  </si>
  <si>
    <t xml:space="preserve">Floculantes</t>
  </si>
  <si>
    <t xml:space="preserve">FLOCULANTES</t>
  </si>
  <si>
    <t xml:space="preserve">K19-204-FER-MC-043</t>
  </si>
  <si>
    <t xml:space="preserve">Espessadores</t>
  </si>
  <si>
    <t xml:space="preserve">ESPESSADORES</t>
  </si>
  <si>
    <t xml:space="preserve">K19-204-FER-MC-045</t>
  </si>
  <si>
    <t xml:space="preserve">Subestação 138KV e CCM</t>
  </si>
  <si>
    <t xml:space="preserve">SUBESTAÇÃO 138KV E CCM</t>
  </si>
  <si>
    <t xml:space="preserve">K19-204-FER-MC-046</t>
  </si>
  <si>
    <t xml:space="preserve">K19-204-FER-MC-047</t>
  </si>
  <si>
    <t xml:space="preserve">K19-204-FER-MC-048</t>
  </si>
  <si>
    <t xml:space="preserve">K19-204-FER-MC-049</t>
  </si>
  <si>
    <t xml:space="preserve">Galpão Óleo Almoxarifado e SAO</t>
  </si>
  <si>
    <t xml:space="preserve">GALPÃO ÓLEO ALMOXARIFADO E SAO</t>
  </si>
  <si>
    <t xml:space="preserve">K19-204-FER-MC-050</t>
  </si>
  <si>
    <t xml:space="preserve">Abrigo Cilindros, Gerador, Trocador Calor - Área Laboratório</t>
  </si>
  <si>
    <t xml:space="preserve">ABRIGO CILINDROS, GERADOR, TROCADOR CALOR - ÁREA LABORATÓRIO</t>
  </si>
  <si>
    <t xml:space="preserve">K19-204-FER-MC-051</t>
  </si>
  <si>
    <t xml:space="preserve">Gerador - Peneiras Cava Sul</t>
  </si>
  <si>
    <t xml:space="preserve">GERADOR - PENEIRAS CAVA SUL</t>
  </si>
  <si>
    <t xml:space="preserve">K19-204-FER-MC-052</t>
  </si>
  <si>
    <t xml:space="preserve">Container de Apoio - Peneiras Cava Sul</t>
  </si>
  <si>
    <t xml:space="preserve">CONTAINER DE APOIO - PENEIRAS CAVA SUL</t>
  </si>
  <si>
    <t xml:space="preserve">K19-204-FER-MC-053</t>
  </si>
  <si>
    <t xml:space="preserve">Duas Peneiras Móveis - Peneiras Cava Sul</t>
  </si>
  <si>
    <t xml:space="preserve">DUAS PENEIRAS MÓVEIS - PENEIRAS CAVA SUL</t>
  </si>
  <si>
    <t xml:space="preserve">K19-204-FER-MC-054</t>
  </si>
  <si>
    <t xml:space="preserve">K19-204-FER-MC-055</t>
  </si>
  <si>
    <t xml:space="preserve">K19-204-FER-MC-056</t>
  </si>
  <si>
    <t xml:space="preserve">Novo DIR</t>
  </si>
  <si>
    <t xml:space="preserve">NOVO DIR</t>
  </si>
  <si>
    <t xml:space="preserve">K19-204-FER-MC-057</t>
  </si>
  <si>
    <t xml:space="preserve">CONTEINER GESTAO DE CONTRATOS</t>
  </si>
  <si>
    <t xml:space="preserve">K19-204-FER-MC-058</t>
  </si>
  <si>
    <t xml:space="preserve">Poço Artesiano 3 e Apanhador de Água Poço 3</t>
  </si>
  <si>
    <t xml:space="preserve">POÇO ARTESIANO 3 E APANHADOR DE ÁGUA POÇO 3 </t>
  </si>
  <si>
    <t xml:space="preserve">K19-204-FER-MC-059</t>
  </si>
  <si>
    <t xml:space="preserve">K19-204-FER-MC-060</t>
  </si>
  <si>
    <t xml:space="preserve">CONTAINER RECEPÇÃO DA PORTARIA</t>
  </si>
  <si>
    <t xml:space="preserve">K19-204-FER-MC-061</t>
  </si>
  <si>
    <t xml:space="preserve">PROJETO BASICO </t>
  </si>
  <si>
    <t xml:space="preserve">K19-204-FER-MC-062</t>
  </si>
  <si>
    <t xml:space="preserve">K19-204-FER-MC-063</t>
  </si>
  <si>
    <t xml:space="preserve">K19-204-FER-MC-064</t>
  </si>
  <si>
    <t xml:space="preserve">K19-204-FER-MC-065</t>
  </si>
  <si>
    <t xml:space="preserve">Planta Geração</t>
  </si>
  <si>
    <t xml:space="preserve">PLANTA GERACAO </t>
  </si>
  <si>
    <t xml:space="preserve">K19-204-FER-MC-066</t>
  </si>
  <si>
    <t xml:space="preserve">K19-204-FER-MC-067</t>
  </si>
  <si>
    <t xml:space="preserve">POCO CAPTACAO PIRES</t>
  </si>
  <si>
    <t xml:space="preserve">K19-204-FER-MC-068</t>
  </si>
  <si>
    <t xml:space="preserve">K19-204-FER-MC-069</t>
  </si>
  <si>
    <t xml:space="preserve">K19-204-FER-MC-070</t>
  </si>
  <si>
    <t xml:space="preserve">K19-204-FER-MC-071</t>
  </si>
  <si>
    <t xml:space="preserve">K19-204-FER-MC-072</t>
  </si>
  <si>
    <t xml:space="preserve">Conteiner Elétrica </t>
  </si>
  <si>
    <t xml:space="preserve">K19-204-FER-MC-073</t>
  </si>
  <si>
    <t xml:space="preserve">K19-204-FER-MC-074</t>
  </si>
  <si>
    <t xml:space="preserve">K19-204-FER-MC-075</t>
  </si>
  <si>
    <t xml:space="preserve">TORRE DE TELECOMUNICAÇÃO</t>
  </si>
  <si>
    <t xml:space="preserve">K19-204-FER-MC-076</t>
  </si>
  <si>
    <t xml:space="preserve">K19-204-FER-MC-077</t>
  </si>
  <si>
    <t xml:space="preserve">K19-204-FER-MC-078</t>
  </si>
  <si>
    <t xml:space="preserve">K19-204-FER-MC-079</t>
  </si>
  <si>
    <t xml:space="preserve">Área de vivência ED Pavimentações</t>
  </si>
  <si>
    <t xml:space="preserve">K19-204-FER-MC-080</t>
  </si>
  <si>
    <t xml:space="preserve">K19-204-FER-MC-081</t>
  </si>
  <si>
    <t xml:space="preserve">K19-204-FER-MC-082</t>
  </si>
  <si>
    <t xml:space="preserve">K19-204-FER-MC-083</t>
  </si>
  <si>
    <t xml:space="preserve">K19-204-FER-MC-084</t>
  </si>
  <si>
    <t xml:space="preserve">K19-204-FER-MC-085</t>
  </si>
  <si>
    <t xml:space="preserve">K19-204-FER-MC-086</t>
  </si>
  <si>
    <t xml:space="preserve">K19-204-FER-MC-087</t>
  </si>
  <si>
    <t xml:space="preserve">K19-204-FER-MC-088</t>
  </si>
  <si>
    <t xml:space="preserve">K19-204-FER-MC-089</t>
  </si>
  <si>
    <t xml:space="preserve">K19-204-FER-MC-090</t>
  </si>
  <si>
    <t xml:space="preserve">K19-204-FER-MC-091</t>
  </si>
  <si>
    <t xml:space="preserve">K19-204-FER-MC-092</t>
  </si>
  <si>
    <t xml:space="preserve">K19-204-FER-MC-093</t>
  </si>
  <si>
    <t xml:space="preserve">K19-204-FER-MC-094</t>
  </si>
  <si>
    <t xml:space="preserve">K19-204-FER-MC-095</t>
  </si>
  <si>
    <t xml:space="preserve">K19-204-FER-MC-096</t>
  </si>
  <si>
    <t xml:space="preserve">K19-204-FER-MC-097</t>
  </si>
  <si>
    <t xml:space="preserve">K19-204-FER-MC-098</t>
  </si>
  <si>
    <t xml:space="preserve">K19-204-FER-MC-099</t>
  </si>
  <si>
    <t xml:space="preserve">Não Conformidade - Descrição</t>
  </si>
  <si>
    <t xml:space="preserve">Severidade</t>
  </si>
  <si>
    <t xml:space="preserve">Responsável</t>
  </si>
  <si>
    <t xml:space="preserve">Data</t>
  </si>
  <si>
    <t xml:space="preserve">K19-204-FER-RI-001</t>
  </si>
  <si>
    <t xml:space="preserve">RELATÓRIO DE INSPEÇÃO</t>
  </si>
  <si>
    <t xml:space="preserve">K19-204-FER-RI-002</t>
  </si>
  <si>
    <t xml:space="preserve">K19-204-FER-RI-003</t>
  </si>
  <si>
    <t xml:space="preserve">K19-204-FER-RI-004</t>
  </si>
  <si>
    <t xml:space="preserve">K19-204-FER-RI-005</t>
  </si>
  <si>
    <t xml:space="preserve">K19-204-FER-RI-006</t>
  </si>
  <si>
    <t xml:space="preserve">Escritório Administrativo 1 (Antigo)</t>
  </si>
  <si>
    <t xml:space="preserve">ESCRITÓRIO ADMINISTRATIVO 1 (ANTIGO)</t>
  </si>
  <si>
    <t xml:space="preserve">K19-204-FER-RI-007</t>
  </si>
  <si>
    <t xml:space="preserve">Escritório Administrativo (Novo)</t>
  </si>
  <si>
    <t xml:space="preserve">ESCRITÓRIO ADMINISTRATIVO (NOVO)</t>
  </si>
  <si>
    <t xml:space="preserve">K19-204-FER-RI-008</t>
  </si>
  <si>
    <t xml:space="preserve">GEOLOGIA/GEOTECNIA</t>
  </si>
  <si>
    <t xml:space="preserve">K19-204-FER-RI-009</t>
  </si>
  <si>
    <t xml:space="preserve">K19-204-FER-RI-010</t>
  </si>
  <si>
    <t xml:space="preserve">Meio Ambiente/Comunicação</t>
  </si>
  <si>
    <t xml:space="preserve">MEIO AMBIENTE/COMUNICAÇÃO</t>
  </si>
  <si>
    <t xml:space="preserve">K19-204-FER-RI-011</t>
  </si>
  <si>
    <t xml:space="preserve">K19-204-FER-RI-012</t>
  </si>
  <si>
    <t xml:space="preserve">K19-204-FER-RI-013</t>
  </si>
  <si>
    <t xml:space="preserve">K19-204-FER-RI-014</t>
  </si>
  <si>
    <t xml:space="preserve">K19-204-FER-RI-015</t>
  </si>
  <si>
    <t xml:space="preserve">K19-204-FER-RI-016</t>
  </si>
  <si>
    <t xml:space="preserve">Área de Canteiros de Obra </t>
  </si>
  <si>
    <t xml:space="preserve">ÁREA DE CANTEIROS DE OBRA</t>
  </si>
  <si>
    <t xml:space="preserve">K19-204-FER-RI-017</t>
  </si>
  <si>
    <t xml:space="preserve">Área de Canteiros de Obra próxima a Planta Piloto ITM</t>
  </si>
  <si>
    <t xml:space="preserve">ÁREA DE CANTEIROS DE OBRA PRÓXIMA A PLANTA PILOTO ITM</t>
  </si>
  <si>
    <t xml:space="preserve">K19-204-FER-RI-018</t>
  </si>
  <si>
    <t xml:space="preserve">K19-204-FER-RI-019</t>
  </si>
  <si>
    <t xml:space="preserve">K19-204-FER-RI-020</t>
  </si>
  <si>
    <t xml:space="preserve">K19-204-FER-RI-021</t>
  </si>
  <si>
    <t xml:space="preserve">Pátio de Logística e Vendas</t>
  </si>
  <si>
    <t xml:space="preserve">PÁTIO DE LOGÍSTICA E VENDAS</t>
  </si>
  <si>
    <t xml:space="preserve">K19-204-FER-RI-022</t>
  </si>
  <si>
    <t xml:space="preserve">PÁTIO DE REUTILIZÁVIES</t>
  </si>
  <si>
    <t xml:space="preserve">K19-204-FER-RI-023</t>
  </si>
  <si>
    <t xml:space="preserve">K19-204-FER-RI-024</t>
  </si>
  <si>
    <t xml:space="preserve">K19-204-FER-RI-025</t>
  </si>
  <si>
    <t xml:space="preserve">Oficina de Manutenção Peneiras Estáticas Cava Sul</t>
  </si>
  <si>
    <t xml:space="preserve">K19-204-FER-RI-026</t>
  </si>
  <si>
    <t xml:space="preserve">K19-204-FER-RI-027</t>
  </si>
  <si>
    <t xml:space="preserve">Área de Classificação próxima ao Meio Ambiente</t>
  </si>
  <si>
    <t xml:space="preserve">K19-204-FER-RI-028</t>
  </si>
  <si>
    <t xml:space="preserve">K19-204-FER-RI-029</t>
  </si>
  <si>
    <t xml:space="preserve">Bombas de Água</t>
  </si>
  <si>
    <t xml:space="preserve">BOMBAS DE ÁGUA</t>
  </si>
  <si>
    <t xml:space="preserve">K19-204-FER-RI-030</t>
  </si>
  <si>
    <t xml:space="preserve">Almoxarifado</t>
  </si>
  <si>
    <t xml:space="preserve">ALMOXARIFADO</t>
  </si>
  <si>
    <t xml:space="preserve">K19-204-FER-RI-031</t>
  </si>
  <si>
    <t xml:space="preserve">OFICINA ITM </t>
  </si>
  <si>
    <t xml:space="preserve">K19-204-FER-RI-032</t>
  </si>
  <si>
    <t xml:space="preserve">Sítio</t>
  </si>
  <si>
    <t xml:space="preserve">SÍTIO</t>
  </si>
  <si>
    <t xml:space="preserve">K19-204-FER-RI-033</t>
  </si>
  <si>
    <t xml:space="preserve">K19-204-FER-RI-034</t>
  </si>
  <si>
    <t xml:space="preserve">Smartmine e Operação da Mina</t>
  </si>
  <si>
    <t xml:space="preserve">SMARTMINE E OPERAÇÃO DA MINA</t>
  </si>
  <si>
    <t xml:space="preserve">K19-204-FER-RI-035</t>
  </si>
  <si>
    <t xml:space="preserve">K19-204-FER-RI-036</t>
  </si>
  <si>
    <t xml:space="preserve">Galpão de Treinamentos</t>
  </si>
  <si>
    <t xml:space="preserve">GALPÃO DE TREINAMENTOS</t>
  </si>
  <si>
    <t xml:space="preserve">K19-204-FER-RI-037</t>
  </si>
  <si>
    <t xml:space="preserve">K19-204-FER-RI-038</t>
  </si>
  <si>
    <t xml:space="preserve">K19-204-FER-RI-039</t>
  </si>
  <si>
    <t xml:space="preserve">K19-204-FER-RI-040</t>
  </si>
  <si>
    <t xml:space="preserve">Rebritagens 1 e 2</t>
  </si>
  <si>
    <t xml:space="preserve">REBRITAGENS 1 E 2 </t>
  </si>
  <si>
    <t xml:space="preserve">K19-204-FER-RI-041</t>
  </si>
  <si>
    <t xml:space="preserve">K19-204-FER-RI-042</t>
  </si>
  <si>
    <t xml:space="preserve">K19-204-FER-RI-043</t>
  </si>
  <si>
    <t xml:space="preserve">K19-204-FER-RI-044</t>
  </si>
  <si>
    <t xml:space="preserve">Tanques Agitadores</t>
  </si>
  <si>
    <t xml:space="preserve">TANQUES AGITADORES</t>
  </si>
  <si>
    <t xml:space="preserve">K19-204-FER-RI-045</t>
  </si>
  <si>
    <t xml:space="preserve">Subestação 138KV E CCM</t>
  </si>
  <si>
    <t xml:space="preserve">K19-204-FER-RI-046</t>
  </si>
  <si>
    <t xml:space="preserve">Mirante.</t>
  </si>
  <si>
    <t xml:space="preserve">K19-204-FER-RI-047</t>
  </si>
  <si>
    <t xml:space="preserve">Canteiros de obras VMF</t>
  </si>
  <si>
    <t xml:space="preserve">CANTEIROS DE OBRAS VMF</t>
  </si>
  <si>
    <t xml:space="preserve">K19-204-FER-RI-048</t>
  </si>
  <si>
    <t xml:space="preserve">K19-204-FER-RI-049</t>
  </si>
  <si>
    <t xml:space="preserve">Tenda contratadas</t>
  </si>
  <si>
    <t xml:space="preserve">TENDAS CONTRATADAS</t>
  </si>
  <si>
    <t xml:space="preserve">K19-204-FER-RI-050</t>
  </si>
  <si>
    <t xml:space="preserve">K19-204-FER-RI-051</t>
  </si>
  <si>
    <t xml:space="preserve">CONTÊINER ELÉTRICA</t>
  </si>
  <si>
    <t xml:space="preserve">K19-204-FER-RI-052</t>
  </si>
  <si>
    <t xml:space="preserve">CONTÊINER PENEIRA 1</t>
  </si>
  <si>
    <t xml:space="preserve">K19-204-FER-RI-053</t>
  </si>
  <si>
    <t xml:space="preserve">Contêiner RH</t>
  </si>
  <si>
    <t xml:space="preserve">CONTÊINER RH</t>
  </si>
  <si>
    <t xml:space="preserve">K19-204-FER-RI-054</t>
  </si>
  <si>
    <t xml:space="preserve">K19-204-FER-RI-055</t>
  </si>
  <si>
    <t xml:space="preserve">Restaurante Anexo</t>
  </si>
  <si>
    <t xml:space="preserve">RESTAURANTE ANEXO</t>
  </si>
  <si>
    <t xml:space="preserve">K19-204-FER-RI-056</t>
  </si>
  <si>
    <t xml:space="preserve">K19-204-FER-RI-057</t>
  </si>
  <si>
    <t xml:space="preserve">K19-204-FER-RI-058</t>
  </si>
  <si>
    <t xml:space="preserve">Container Recepção da Portaria </t>
  </si>
  <si>
    <t xml:space="preserve">K19-204-FER-RI-059</t>
  </si>
  <si>
    <t xml:space="preserve">K19-204-FER-RI-060</t>
  </si>
  <si>
    <t xml:space="preserve">CONTÊINER PM-05</t>
  </si>
  <si>
    <t xml:space="preserve">K19-204-FER-RI-061</t>
  </si>
  <si>
    <t xml:space="preserve">K19-204-FER-RI-062</t>
  </si>
  <si>
    <t xml:space="preserve">K19-204-FER-RI-063</t>
  </si>
  <si>
    <t xml:space="preserve">K19-204-FER-RI-064</t>
  </si>
  <si>
    <t xml:space="preserve">K19-204-FER-RI-065</t>
  </si>
  <si>
    <t xml:space="preserve">K19-204-FER-RI-066</t>
  </si>
  <si>
    <t xml:space="preserve">Volume ITM</t>
  </si>
  <si>
    <t xml:space="preserve">VOLUME ITM</t>
  </si>
  <si>
    <t xml:space="preserve">K19-204-FER-RI-067</t>
  </si>
  <si>
    <t xml:space="preserve">K19-204-FER-RI-068</t>
  </si>
  <si>
    <t xml:space="preserve">K19-204-FER-RI-069</t>
  </si>
  <si>
    <t xml:space="preserve">Torre de Resfriamento</t>
  </si>
  <si>
    <t xml:space="preserve">TORRE DE RESFRIAMENTO</t>
  </si>
  <si>
    <t xml:space="preserve">K19-204-FER-RI-070</t>
  </si>
  <si>
    <t xml:space="preserve">Base de Bombas Novas</t>
  </si>
  <si>
    <t xml:space="preserve">BASE DE BOMBAS NOVAS</t>
  </si>
  <si>
    <t xml:space="preserve">K19-204-FER-RI-071</t>
  </si>
  <si>
    <t xml:space="preserve">Classificação e Moagem nas Prensas de Rolos</t>
  </si>
  <si>
    <t xml:space="preserve">CLASSIFICAÇÃO E MOAGEM NAS PRENSAS DE ROLOS</t>
  </si>
  <si>
    <t xml:space="preserve">K19-204-FER-RI-072</t>
  </si>
  <si>
    <t xml:space="preserve">Casa de Máquina</t>
  </si>
  <si>
    <t xml:space="preserve">CASA DE MÁQUINA</t>
  </si>
  <si>
    <t xml:space="preserve">K19-204-FER-RI-073</t>
  </si>
  <si>
    <t xml:space="preserve">K19-204-FER-RI-074</t>
  </si>
  <si>
    <t xml:space="preserve">Eletrocentro (Filtragem de Prensa)</t>
  </si>
  <si>
    <t xml:space="preserve">ELETROCENTRO (FILTRAGEM DE PRENSA)</t>
  </si>
  <si>
    <t xml:space="preserve">K19-204-FER-RI-075</t>
  </si>
  <si>
    <t xml:space="preserve">NOVA BALAÇA RODOVIÁRIA</t>
  </si>
  <si>
    <t xml:space="preserve">K19-204-FER-RI-076</t>
  </si>
  <si>
    <t xml:space="preserve">K19-204-FER-RI-077</t>
  </si>
  <si>
    <t xml:space="preserve">K19-204-FER-RI-078</t>
  </si>
  <si>
    <t xml:space="preserve">Balanca Rodoviaria Fazenda Flores</t>
  </si>
  <si>
    <t xml:space="preserve">BALANÇA RODOVIÁRIA FAZENDA FLORES</t>
  </si>
  <si>
    <t xml:space="preserve">K19-204-FER-RI-079</t>
  </si>
  <si>
    <t xml:space="preserve">K19-204-FER-RI-080</t>
  </si>
  <si>
    <t xml:space="preserve">Contêiner Manutenção Mecânica ITM</t>
  </si>
  <si>
    <t xml:space="preserve">K19-204-FER-RI-081</t>
  </si>
  <si>
    <t xml:space="preserve">K19-204-FER-RI-082</t>
  </si>
  <si>
    <t xml:space="preserve">K19-204-FER-RI-083</t>
  </si>
  <si>
    <t xml:space="preserve">K19-204-FER-RI-084</t>
  </si>
  <si>
    <t xml:space="preserve">K19-204-FER-RI-085</t>
  </si>
  <si>
    <t xml:space="preserve">K19-204-FER-RI-086</t>
  </si>
  <si>
    <t xml:space="preserve">K19-204-FER-RI-087</t>
  </si>
  <si>
    <t xml:space="preserve">Guarita Centro de Treinamentos</t>
  </si>
  <si>
    <t xml:space="preserve">GUARITA CENTRO DE TREINAMENTOS</t>
  </si>
  <si>
    <t xml:space="preserve">K19-204-FER-RI-088</t>
  </si>
  <si>
    <t xml:space="preserve">Nova Britagem</t>
  </si>
  <si>
    <t xml:space="preserve">NOVA BRITAGEM</t>
  </si>
  <si>
    <t xml:space="preserve">K19-204-FER-RI-089</t>
  </si>
  <si>
    <t xml:space="preserve">Eletrocentro Bombas de Água</t>
  </si>
  <si>
    <t xml:space="preserve">K19-204-FER-RI-090</t>
  </si>
  <si>
    <t xml:space="preserve">Pátio das Contratadas</t>
  </si>
  <si>
    <t xml:space="preserve">PÁTIO DAS CONTRATADAS </t>
  </si>
  <si>
    <t xml:space="preserve">K19-204-FER-RI-091</t>
  </si>
  <si>
    <t xml:space="preserve">K19-204-FER-RI-092</t>
  </si>
  <si>
    <t xml:space="preserve">K19-204-FER-RI-093</t>
  </si>
  <si>
    <t xml:space="preserve">K19-204-FER-RI-094</t>
  </si>
  <si>
    <t xml:space="preserve">K19-204-FER-RI-095</t>
  </si>
  <si>
    <t xml:space="preserve">K19-204-FER-RI-096</t>
  </si>
  <si>
    <t xml:space="preserve">Código da Área</t>
  </si>
  <si>
    <t xml:space="preserve">LD
(ÁREA CRIADA)</t>
  </si>
  <si>
    <t xml:space="preserve">DEMARCAÇÃO NO QGIS</t>
  </si>
  <si>
    <t xml:space="preserve">ÁREA À SER CONSIDERADA</t>
  </si>
  <si>
    <t xml:space="preserve">RI Inicial</t>
  </si>
  <si>
    <t xml:space="preserve">ART Inicial</t>
  </si>
  <si>
    <t xml:space="preserve">MC</t>
  </si>
  <si>
    <t xml:space="preserve">DE</t>
  </si>
  <si>
    <t xml:space="preserve">MD</t>
  </si>
  <si>
    <t xml:space="preserve">LM</t>
  </si>
  <si>
    <t xml:space="preserve">ADEQUAÇÃO %</t>
  </si>
  <si>
    <t xml:space="preserve">Ampliação Volume</t>
  </si>
  <si>
    <t xml:space="preserve">RI Conforme / Atual</t>
  </si>
  <si>
    <t xml:space="preserve">Data de Emissão do Laudo completo (medição)</t>
  </si>
  <si>
    <t xml:space="preserve">Validade do Laudo completo (medição)</t>
  </si>
  <si>
    <t xml:space="preserve">Inspeção Semestral (IS)</t>
  </si>
  <si>
    <t xml:space="preserve">Data de Emissão do último Laudo (Completo / IS)</t>
  </si>
  <si>
    <t xml:space="preserve">Validade da Inspeção Semestral</t>
  </si>
  <si>
    <t xml:space="preserve">Execução adequação inspeção Visual</t>
  </si>
  <si>
    <t xml:space="preserve">ART Final</t>
  </si>
  <si>
    <t xml:space="preserve">Dossiê</t>
  </si>
  <si>
    <t xml:space="preserve">Observações e previsão p/ adequação</t>
  </si>
  <si>
    <t xml:space="preserve">Pendências</t>
  </si>
  <si>
    <t xml:space="preserve">Captação</t>
  </si>
  <si>
    <t xml:space="preserve">Descida</t>
  </si>
  <si>
    <t xml:space="preserve">Aterramento</t>
  </si>
  <si>
    <t xml:space="preserve">DPS</t>
  </si>
  <si>
    <t xml:space="preserve">Geral</t>
  </si>
  <si>
    <t xml:space="preserve">001</t>
  </si>
  <si>
    <t xml:space="preserve">K19-204-FER-RI-003-R00</t>
  </si>
  <si>
    <t xml:space="preserve">K19-204-FER-RI-003-R02</t>
  </si>
  <si>
    <t xml:space="preserve">K19-204-FER-IS-048</t>
  </si>
  <si>
    <t xml:space="preserve">P4-A1</t>
  </si>
  <si>
    <t xml:space="preserve">Nuvem atualizada</t>
  </si>
  <si>
    <t xml:space="preserve">OK</t>
  </si>
  <si>
    <t xml:space="preserve">002</t>
  </si>
  <si>
    <t xml:space="preserve">UNIFICAR - REBRITAGEM 2 E CLASSIFICAÇÃO</t>
  </si>
  <si>
    <t xml:space="preserve">K19-204-FER-RI-001-R00</t>
  </si>
  <si>
    <t xml:space="preserve">K19-204-FER-RI-001-R01</t>
  </si>
  <si>
    <t xml:space="preserve">K19-204-FER-IS-076</t>
  </si>
  <si>
    <t xml:space="preserve">P13-A1</t>
  </si>
  <si>
    <t xml:space="preserve">Moagem</t>
  </si>
  <si>
    <t xml:space="preserve">K19-204-FER-RI-071-R00</t>
  </si>
  <si>
    <t xml:space="preserve">N.A</t>
  </si>
  <si>
    <t xml:space="preserve">-</t>
  </si>
  <si>
    <t xml:space="preserve">Realizar limpeza na área abaixo dos HRC-800. Resp. J. Mendes </t>
  </si>
  <si>
    <t xml:space="preserve">K19-204-FER-RI-041-R00</t>
  </si>
  <si>
    <t xml:space="preserve">K19-204-FER-IS-075</t>
  </si>
  <si>
    <t xml:space="preserve"> MG20210510755</t>
  </si>
  <si>
    <t xml:space="preserve">003</t>
  </si>
  <si>
    <t xml:space="preserve">Separador Magnético</t>
  </si>
  <si>
    <t xml:space="preserve">K19-204-FER-RI-002-R00</t>
  </si>
  <si>
    <t xml:space="preserve">K19-204-FER-RI-002-R01</t>
  </si>
  <si>
    <t xml:space="preserve">K19-204-FER-IS-013</t>
  </si>
  <si>
    <t xml:space="preserve">P14-A1</t>
  </si>
  <si>
    <t xml:space="preserve">004 </t>
  </si>
  <si>
    <t xml:space="preserve">UNIFICAR COMO - ESPESSADORES</t>
  </si>
  <si>
    <t xml:space="preserve">Tanque de Cal Filtragem                                      </t>
  </si>
  <si>
    <t xml:space="preserve">K19-204-FER-RI-067-R00</t>
  </si>
  <si>
    <t xml:space="preserve">K19-204-FER-IS-032</t>
  </si>
  <si>
    <t xml:space="preserve">MG20221153441</t>
  </si>
  <si>
    <t xml:space="preserve">P7-A1</t>
  </si>
  <si>
    <t xml:space="preserve">Floculantes   </t>
  </si>
  <si>
    <t xml:space="preserve">K19-204-FER-RI-042-R00</t>
  </si>
  <si>
    <t xml:space="preserve">NA</t>
  </si>
  <si>
    <t xml:space="preserve">K19-204-FER-IS-018</t>
  </si>
  <si>
    <t xml:space="preserve">K19-204-FER-RI-043-R00</t>
  </si>
  <si>
    <t xml:space="preserve">K19-204-FER-IS-065</t>
  </si>
  <si>
    <t xml:space="preserve">MG20221153489</t>
  </si>
  <si>
    <t xml:space="preserve">xx</t>
  </si>
  <si>
    <t xml:space="preserve">Galpão de Ácido Nitrico</t>
  </si>
  <si>
    <t xml:space="preserve">K19-204-FER-RI-044-R01</t>
  </si>
  <si>
    <t xml:space="preserve">K19-204-FER-IS-017</t>
  </si>
  <si>
    <t xml:space="preserve">P10-A3</t>
  </si>
  <si>
    <t xml:space="preserve">K19-204-FER-RI-044-R00</t>
  </si>
  <si>
    <t xml:space="preserve">K19-204-FER-IS-016</t>
  </si>
  <si>
    <t xml:space="preserve">005</t>
  </si>
  <si>
    <t xml:space="preserve">UNIFICAR - FILTRAGEM CONCENTRADOS</t>
  </si>
  <si>
    <t xml:space="preserve">K19-204-FER-RI-004-R00</t>
  </si>
  <si>
    <t xml:space="preserve">K19-204-FER-RI-004-R01</t>
  </si>
  <si>
    <t xml:space="preserve">K19-204-FER-IS-014</t>
  </si>
  <si>
    <t xml:space="preserve">MG20221153555</t>
  </si>
  <si>
    <t xml:space="preserve">P13-A2</t>
  </si>
  <si>
    <t xml:space="preserve">K19-204-FER-RI-069-R00</t>
  </si>
  <si>
    <t xml:space="preserve">K19-204-FER-RI-069-R01</t>
  </si>
  <si>
    <t xml:space="preserve">K19-204-FER-IS-056</t>
  </si>
  <si>
    <t xml:space="preserve">MG20221576004</t>
  </si>
  <si>
    <t xml:space="preserve">P10-A2</t>
  </si>
  <si>
    <t xml:space="preserve">Casa de Máquinas</t>
  </si>
  <si>
    <t xml:space="preserve">K19-204-FER-RI-072-R00</t>
  </si>
  <si>
    <t xml:space="preserve">K19-204-FER-IS-057</t>
  </si>
  <si>
    <t xml:space="preserve">006</t>
  </si>
  <si>
    <t xml:space="preserve">UNIFICAR - FILTRAGEM DE REJEITOS</t>
  </si>
  <si>
    <t xml:space="preserve">K19-204-FER-RI-005-R00</t>
  </si>
  <si>
    <t xml:space="preserve">K19-204-FER-RI-005-R02</t>
  </si>
  <si>
    <t xml:space="preserve">K19-204-FER-IS-015</t>
  </si>
  <si>
    <t xml:space="preserve">MG20221154140</t>
  </si>
  <si>
    <t xml:space="preserve">Eletrocentro Filtragem Prensa 1</t>
  </si>
  <si>
    <t xml:space="preserve">K19-204-FER-IS-053</t>
  </si>
  <si>
    <t xml:space="preserve">Eletrocentro Filtragem Prensa 2</t>
  </si>
  <si>
    <t xml:space="preserve">K19-204-FER-RI-074-R00</t>
  </si>
  <si>
    <t xml:space="preserve">K19-204-FER-IS-054</t>
  </si>
  <si>
    <t xml:space="preserve">007</t>
  </si>
  <si>
    <t xml:space="preserve">UNIFICAR - BOMBA DE ÁGUA</t>
  </si>
  <si>
    <t xml:space="preserve">Caixa Australianas 1</t>
  </si>
  <si>
    <t xml:space="preserve">K19-204-FER-RI-018-R00</t>
  </si>
  <si>
    <t xml:space="preserve">K19-204-FER-RI-018-R02</t>
  </si>
  <si>
    <t xml:space="preserve">K19-204-FER-IS-021</t>
  </si>
  <si>
    <t xml:space="preserve">P11-A1</t>
  </si>
  <si>
    <t xml:space="preserve">Caixa Australianas 2</t>
  </si>
  <si>
    <t xml:space="preserve">K19-204-FER-IS-019</t>
  </si>
  <si>
    <t xml:space="preserve">Caixa Australianas 3</t>
  </si>
  <si>
    <t xml:space="preserve">K19-204-FER-IS-020</t>
  </si>
  <si>
    <t xml:space="preserve">Caixa Australianas 4</t>
  </si>
  <si>
    <t xml:space="preserve">K19-204-FER-IS-022</t>
  </si>
  <si>
    <t xml:space="preserve">MG20221153165</t>
  </si>
  <si>
    <t xml:space="preserve">K19-204-FER-RI-089-R00</t>
  </si>
  <si>
    <t xml:space="preserve">K19-204-FER-IS-071</t>
  </si>
  <si>
    <t xml:space="preserve">MG20232225407</t>
  </si>
  <si>
    <t xml:space="preserve">P11-A2</t>
  </si>
  <si>
    <t xml:space="preserve">K19-204-FER-RI-029-R00</t>
  </si>
  <si>
    <t xml:space="preserve">K19-204-FER-IS-072</t>
  </si>
  <si>
    <t xml:space="preserve">Portaria Central</t>
  </si>
  <si>
    <t xml:space="preserve">K19-204-FER-RI-011-R00</t>
  </si>
  <si>
    <t xml:space="preserve">K19-204-FER-RI-011-R01</t>
  </si>
  <si>
    <t xml:space="preserve">K19-204-FER-IS-011</t>
  </si>
  <si>
    <t xml:space="preserve">MG20232225382</t>
  </si>
  <si>
    <t xml:space="preserve">P1-A5</t>
  </si>
  <si>
    <t xml:space="preserve">9024 / 9027/ 9028</t>
  </si>
  <si>
    <t xml:space="preserve">CONSIDERAR MESMA ÁREA (ÁREA ADMINISTRATIVA MINA)</t>
  </si>
  <si>
    <t xml:space="preserve">Vestíarios </t>
  </si>
  <si>
    <t xml:space="preserve">K19-204-FER-RI-024-R00</t>
  </si>
  <si>
    <t xml:space="preserve">K19-204-FER-IS-008</t>
  </si>
  <si>
    <t xml:space="preserve">MG20231820746</t>
  </si>
  <si>
    <t xml:space="preserve">P1-A8</t>
  </si>
  <si>
    <t xml:space="preserve">Restaurante</t>
  </si>
  <si>
    <t xml:space="preserve">K19-204-FER-IS-009</t>
  </si>
  <si>
    <t xml:space="preserve">K19-204-FER-RI-007-R00</t>
  </si>
  <si>
    <t xml:space="preserve">K19-204-FER-MC-007</t>
  </si>
  <si>
    <t xml:space="preserve">K19-204-FER-IS-010</t>
  </si>
  <si>
    <t xml:space="preserve">P11-A4</t>
  </si>
  <si>
    <t xml:space="preserve">Quiosque Adm</t>
  </si>
  <si>
    <t xml:space="preserve">K19-204-FER-RI-014-R00</t>
  </si>
  <si>
    <t xml:space="preserve">K19-204-FER-IS-006</t>
  </si>
  <si>
    <t xml:space="preserve">K19-204-FER-RI-019-R00</t>
  </si>
  <si>
    <t xml:space="preserve">K19-204-FER-IS-012</t>
  </si>
  <si>
    <t xml:space="preserve">P6-A2</t>
  </si>
  <si>
    <t xml:space="preserve">UNIFICAR COM 9065 POÇO 4</t>
  </si>
  <si>
    <t xml:space="preserve">K19-204-FER-RI-039-R00</t>
  </si>
  <si>
    <t xml:space="preserve">K19-204-FER-RI-039-R01</t>
  </si>
  <si>
    <t xml:space="preserve">K19-204-FER-IS-005</t>
  </si>
  <si>
    <t xml:space="preserve">P10-A5</t>
  </si>
  <si>
    <t xml:space="preserve">ÁREA PENEIRAMENTO MINA</t>
  </si>
  <si>
    <t xml:space="preserve">HP 100</t>
  </si>
  <si>
    <t xml:space="preserve">K19-204-FER-RI-009-R00</t>
  </si>
  <si>
    <t xml:space="preserve">K19-204-FER-RI-009-R01</t>
  </si>
  <si>
    <t xml:space="preserve">K19-204-FER-IS-062</t>
  </si>
  <si>
    <t xml:space="preserve">MG20221575966</t>
  </si>
  <si>
    <t xml:space="preserve">P6-A3</t>
  </si>
  <si>
    <t xml:space="preserve">UNIFICAR COM 9018 PORTARIA CENTRAL</t>
  </si>
  <si>
    <t xml:space="preserve">K19-204-FER-RI-013-R00</t>
  </si>
  <si>
    <t xml:space="preserve">K19-204-FER-RI-013-R02</t>
  </si>
  <si>
    <t xml:space="preserve">K19-204-FER-IS-033</t>
  </si>
  <si>
    <t xml:space="preserve">MG20221152987</t>
  </si>
  <si>
    <t xml:space="preserve">P1-A3</t>
  </si>
  <si>
    <t xml:space="preserve">ESCRITÓRIO DA MINA</t>
  </si>
  <si>
    <t xml:space="preserve">Contêineres da Parada de Segurança</t>
  </si>
  <si>
    <t xml:space="preserve">K19-204-FER-RI-028-R00</t>
  </si>
  <si>
    <t xml:space="preserve">K19-204-FER-RI-028-R02</t>
  </si>
  <si>
    <t xml:space="preserve">K19-204-FER-IS-030</t>
  </si>
  <si>
    <t xml:space="preserve">P9-A4</t>
  </si>
  <si>
    <t xml:space="preserve">GEOLOGIA/GEOTECNICA </t>
  </si>
  <si>
    <t xml:space="preserve">Escritório Geologia/Geotecnia </t>
  </si>
  <si>
    <t xml:space="preserve">K19-204-FER-RI-008-R00</t>
  </si>
  <si>
    <t xml:space="preserve">K19-204-FER-RI-008-R02</t>
  </si>
  <si>
    <t xml:space="preserve">K19-204-FER-IS-046</t>
  </si>
  <si>
    <t xml:space="preserve">MG20221113535</t>
  </si>
  <si>
    <t xml:space="preserve">P1-A1</t>
  </si>
  <si>
    <t xml:space="preserve">Contêiner Geologia/Geotecnia </t>
  </si>
  <si>
    <t xml:space="preserve">K19-204-FER-RI-036-R00</t>
  </si>
  <si>
    <t xml:space="preserve">K19-204-FER-RI-036-R01</t>
  </si>
  <si>
    <t xml:space="preserve">K19-204-FER-IS-045</t>
  </si>
  <si>
    <t xml:space="preserve">OBSOLETAR</t>
  </si>
  <si>
    <t xml:space="preserve">Escritório novo implantação ITM</t>
  </si>
  <si>
    <t xml:space="preserve">K19-204-FER-RI-031-R00</t>
  </si>
  <si>
    <t xml:space="preserve">Novo empreendimetno</t>
  </si>
  <si>
    <t xml:space="preserve">Obra em andamento. Resp. J. Mendes</t>
  </si>
  <si>
    <t xml:space="preserve">OFICINA DE VEÍCULOS</t>
  </si>
  <si>
    <t xml:space="preserve">K19-204-FER-RI-015-R00</t>
  </si>
  <si>
    <t xml:space="preserve">K19-204-FER-RI-015-R01</t>
  </si>
  <si>
    <t xml:space="preserve">K19-204-FER-IS-035</t>
  </si>
  <si>
    <t xml:space="preserve">MG20221153137</t>
  </si>
  <si>
    <t xml:space="preserve">P2-A2</t>
  </si>
  <si>
    <t xml:space="preserve">K19-204-FER-IS-036</t>
  </si>
  <si>
    <t xml:space="preserve">MG20221153688</t>
  </si>
  <si>
    <t xml:space="preserve">Área de vivência Mina</t>
  </si>
  <si>
    <t xml:space="preserve">Depósito Facilities</t>
  </si>
  <si>
    <t xml:space="preserve">K19-204-FER-RI-027-R00</t>
  </si>
  <si>
    <t xml:space="preserve">K19-204-FER-RI-027-R01</t>
  </si>
  <si>
    <t xml:space="preserve">K19-204-FER-IS-080</t>
  </si>
  <si>
    <t xml:space="preserve">MG20221153210</t>
  </si>
  <si>
    <t xml:space="preserve">P8-A5</t>
  </si>
  <si>
    <t xml:space="preserve">Fábrica de Placas e Container Meio Ambiente </t>
  </si>
  <si>
    <t xml:space="preserve">K19-204-FER-RI-010-R00</t>
  </si>
  <si>
    <t xml:space="preserve">K19-204-FER-IS-063</t>
  </si>
  <si>
    <t xml:space="preserve">K19-204-FER-RI-026-R00</t>
  </si>
  <si>
    <t xml:space="preserve">K19-204-FER-RI-026-R01</t>
  </si>
  <si>
    <t xml:space="preserve">K19-204-FER-IS-026</t>
  </si>
  <si>
    <t xml:space="preserve">MG20221153378</t>
  </si>
  <si>
    <t xml:space="preserve">P1-A6</t>
  </si>
  <si>
    <t xml:space="preserve">ESCRITÓRIO ITM</t>
  </si>
  <si>
    <t xml:space="preserve">Prédio Sala de Controle ITM</t>
  </si>
  <si>
    <t xml:space="preserve">K19-204-FER-RI-045-R00</t>
  </si>
  <si>
    <t xml:space="preserve">Emitir RI com medição realizada Jan. 23. Mesma área da Classificação Resp. MSI</t>
  </si>
  <si>
    <t xml:space="preserve">Planta Piloto</t>
  </si>
  <si>
    <t xml:space="preserve">K19-204-FER-RI-037-R00</t>
  </si>
  <si>
    <t xml:space="preserve">K19-204-FER-RI-037-R01</t>
  </si>
  <si>
    <t xml:space="preserve">K19-204-FER-IS-060</t>
  </si>
  <si>
    <t xml:space="preserve">P8-A3</t>
  </si>
  <si>
    <t xml:space="preserve">VERIFICAR ÁREA</t>
  </si>
  <si>
    <t xml:space="preserve">K19-204-FER-RI-038-R00</t>
  </si>
  <si>
    <t xml:space="preserve">K19-204-FER-RI-038-R01</t>
  </si>
  <si>
    <t xml:space="preserve">K19-204-FER-IS-023</t>
  </si>
  <si>
    <t xml:space="preserve">MG20221153642</t>
  </si>
  <si>
    <t xml:space="preserve">P3-A5</t>
  </si>
  <si>
    <t xml:space="preserve">Poço de Consumo PC 3</t>
  </si>
  <si>
    <t xml:space="preserve">Poço 03 Oficina</t>
  </si>
  <si>
    <t xml:space="preserve">K19-204-FER-RI-105-R00</t>
  </si>
  <si>
    <t xml:space="preserve">MG20253815510</t>
  </si>
  <si>
    <t xml:space="preserve">Em elaboração</t>
  </si>
  <si>
    <t xml:space="preserve">K19-204-FER-RI-034-R00</t>
  </si>
  <si>
    <t xml:space="preserve">K19-204-FER-RI-034-R02</t>
  </si>
  <si>
    <t xml:space="preserve">K19-204-FER-IS-039</t>
  </si>
  <si>
    <t xml:space="preserve">MG20231820728</t>
  </si>
  <si>
    <t xml:space="preserve">P4-A2</t>
  </si>
  <si>
    <t xml:space="preserve">K19-204-FER-RI-030-R00</t>
  </si>
  <si>
    <t xml:space="preserve">K19-204-FER-RI-030-R01</t>
  </si>
  <si>
    <t xml:space="preserve">K19-204-FER-IS-078</t>
  </si>
  <si>
    <t xml:space="preserve">MG20242822116</t>
  </si>
  <si>
    <t xml:space="preserve">P12-A3</t>
  </si>
  <si>
    <t xml:space="preserve">K19-204-FER-RI-023-R00</t>
  </si>
  <si>
    <t xml:space="preserve">K19-204-FER-RI-023-R01</t>
  </si>
  <si>
    <t xml:space="preserve">K19-204-FER-IS-031</t>
  </si>
  <si>
    <t xml:space="preserve">MG20221505670</t>
  </si>
  <si>
    <t xml:space="preserve">P4-A4</t>
  </si>
  <si>
    <t xml:space="preserve">Depósito de Resíduos ITM</t>
  </si>
  <si>
    <t xml:space="preserve">K19-204-FER-RI-064-R00</t>
  </si>
  <si>
    <t xml:space="preserve">K19-204-FER-IS-025</t>
  </si>
  <si>
    <t xml:space="preserve">MG20221153740</t>
  </si>
  <si>
    <t xml:space="preserve">P5-A4</t>
  </si>
  <si>
    <t xml:space="preserve">K19-204-FER-RI-035-R00</t>
  </si>
  <si>
    <t xml:space="preserve">K19-204-FER-RI-035-R02</t>
  </si>
  <si>
    <t xml:space="preserve">K19-204-FER-IS-028</t>
  </si>
  <si>
    <t xml:space="preserve">P7-A4</t>
  </si>
  <si>
    <t xml:space="preserve">K19-204-FER-RI-063-R00</t>
  </si>
  <si>
    <t xml:space="preserve">K19-204-FER-IS-029</t>
  </si>
  <si>
    <t xml:space="preserve">P7-A5</t>
  </si>
  <si>
    <t xml:space="preserve">ETE Oficina</t>
  </si>
  <si>
    <t xml:space="preserve">K19-204-FER-RI-048-R00</t>
  </si>
  <si>
    <t xml:space="preserve">K19-204-FER-IS-004</t>
  </si>
  <si>
    <t xml:space="preserve">P5-A3</t>
  </si>
  <si>
    <t xml:space="preserve">ETE Principal</t>
  </si>
  <si>
    <t xml:space="preserve">K19-204-FER-RI-050-R00</t>
  </si>
  <si>
    <t xml:space="preserve">K19-204-FER-IS-003</t>
  </si>
  <si>
    <t xml:space="preserve">P5-A2</t>
  </si>
  <si>
    <t xml:space="preserve">DIR (Depósito Intermediário de Resíduos)</t>
  </si>
  <si>
    <t xml:space="preserve">K19-204-FER-RI-054-R00</t>
  </si>
  <si>
    <t xml:space="preserve">K19-204-FER-IS-042</t>
  </si>
  <si>
    <t xml:space="preserve">P3-A3</t>
  </si>
  <si>
    <t xml:space="preserve">K19-204-FER-RI-046-R00</t>
  </si>
  <si>
    <t xml:space="preserve">K19-204-FER-IS-002</t>
  </si>
  <si>
    <t xml:space="preserve">P2-A1</t>
  </si>
  <si>
    <t xml:space="preserve">K19-204-FER-RI-058-R00</t>
  </si>
  <si>
    <t xml:space="preserve">K19-204-FER-IS-040</t>
  </si>
  <si>
    <t xml:space="preserve">P3-A1</t>
  </si>
  <si>
    <t xml:space="preserve">K19-204-FER-RI-090-R00</t>
  </si>
  <si>
    <t xml:space="preserve">MG20210601153</t>
  </si>
  <si>
    <t xml:space="preserve">K19-204-FER-IS-052</t>
  </si>
  <si>
    <t xml:space="preserve">MG20232225337</t>
  </si>
  <si>
    <t xml:space="preserve">P11-A3</t>
  </si>
  <si>
    <t xml:space="preserve">Contêineres RH</t>
  </si>
  <si>
    <t xml:space="preserve">K19-204-FER-RI-053-R00</t>
  </si>
  <si>
    <t xml:space="preserve">K19-204-FER-IS-047</t>
  </si>
  <si>
    <t xml:space="preserve">P5-A5</t>
  </si>
  <si>
    <t xml:space="preserve">CRIAR ÁREA</t>
  </si>
  <si>
    <t xml:space="preserve">Oficina Mecanica / Caldeiraria ITM</t>
  </si>
  <si>
    <t xml:space="preserve">Tenda Pátio das Contratadas</t>
  </si>
  <si>
    <t xml:space="preserve">K19-204-FER-RI-049-R00</t>
  </si>
  <si>
    <t xml:space="preserve">K19-204-FER-IS-037</t>
  </si>
  <si>
    <t xml:space="preserve">P8-A2</t>
  </si>
  <si>
    <t xml:space="preserve">Novo Peneiramento (PM-05)</t>
  </si>
  <si>
    <t xml:space="preserve">K19-204-FER-RI-057-R00</t>
  </si>
  <si>
    <t xml:space="preserve">Realizar limpeza nos pilares. Resp. J. Mendes Realizar medição de continuidade da malha. Resp. MSI </t>
  </si>
  <si>
    <t xml:space="preserve">K19-204-FER-RI-033-R00</t>
  </si>
  <si>
    <t xml:space="preserve">K19-204-FER-IS-059</t>
  </si>
  <si>
    <t xml:space="preserve">P8-A4</t>
  </si>
  <si>
    <t xml:space="preserve">K19-204-FER-RI-076-R00</t>
  </si>
  <si>
    <t xml:space="preserve">K19-204-FER-IS-068</t>
  </si>
  <si>
    <t xml:space="preserve">MG20210599755</t>
  </si>
  <si>
    <t xml:space="preserve">P4-A5</t>
  </si>
  <si>
    <t xml:space="preserve">Balança Rodoviária</t>
  </si>
  <si>
    <t xml:space="preserve">K19-204-FER-RI-075-R00</t>
  </si>
  <si>
    <t xml:space="preserve">K19-204-FER-IS-049</t>
  </si>
  <si>
    <t xml:space="preserve">P4-A3</t>
  </si>
  <si>
    <t xml:space="preserve">XX</t>
  </si>
  <si>
    <t xml:space="preserve">Contêiner Elétrica ITM</t>
  </si>
  <si>
    <t xml:space="preserve">K19-204-FER-RI-051-R01</t>
  </si>
  <si>
    <t xml:space="preserve">K19-204-FER-IS-024</t>
  </si>
  <si>
    <t xml:space="preserve">P2-A3</t>
  </si>
  <si>
    <t xml:space="preserve">K19-204-FER-RI-079-R00</t>
  </si>
  <si>
    <t xml:space="preserve">K19-204-FER-IS-050</t>
  </si>
  <si>
    <t xml:space="preserve">P6-A1</t>
  </si>
  <si>
    <t xml:space="preserve">K19-204-FER-RI-062-R00</t>
  </si>
  <si>
    <t xml:space="preserve">K19-204-FER-IS-027</t>
  </si>
  <si>
    <t xml:space="preserve">P3-A2</t>
  </si>
  <si>
    <t xml:space="preserve">K19-204-FER-RI-060-R00</t>
  </si>
  <si>
    <t xml:space="preserve">K19-204-FER-IS-044</t>
  </si>
  <si>
    <t xml:space="preserve">MG20221153950</t>
  </si>
  <si>
    <t xml:space="preserve">P2-A5</t>
  </si>
  <si>
    <t xml:space="preserve">Torre de Telecomunicações Meio Ambiente</t>
  </si>
  <si>
    <t xml:space="preserve">K19-204-FER-RI-056-R00</t>
  </si>
  <si>
    <t xml:space="preserve">MG20221154091</t>
  </si>
  <si>
    <t xml:space="preserve">K19-204-FER-IS-038</t>
  </si>
  <si>
    <t xml:space="preserve">P5-A1</t>
  </si>
  <si>
    <t xml:space="preserve">Novas Tendas OEM</t>
  </si>
  <si>
    <t xml:space="preserve">K19-204-FER-RI-015-R02</t>
  </si>
  <si>
    <t xml:space="preserve">K19-204-FER-IS-066</t>
  </si>
  <si>
    <t xml:space="preserve">Centro de Treinamentos José Mendes Nogueira</t>
  </si>
  <si>
    <t xml:space="preserve">K19-204-FER-RI-087-R01</t>
  </si>
  <si>
    <t xml:space="preserve">K19-204-FER-IS-081</t>
  </si>
  <si>
    <t xml:space="preserve">MG20232047945</t>
  </si>
  <si>
    <t xml:space="preserve">P13-A4</t>
  </si>
  <si>
    <t xml:space="preserve">K19-204-FER-RI-080-R00</t>
  </si>
  <si>
    <t xml:space="preserve">K19-204-FER-IS-058</t>
  </si>
  <si>
    <t xml:space="preserve">MG20231798215</t>
  </si>
  <si>
    <t xml:space="preserve">P9-A1</t>
  </si>
  <si>
    <t xml:space="preserve">Contêineres e Tenda do Peneiramento Móvel</t>
  </si>
  <si>
    <t xml:space="preserve">K19-204-FER-RI-077-R00</t>
  </si>
  <si>
    <t xml:space="preserve">K19-204-FER-RI-077-R01</t>
  </si>
  <si>
    <t xml:space="preserve">K19-204-FER-IS-055</t>
  </si>
  <si>
    <t xml:space="preserve">P9-A5</t>
  </si>
  <si>
    <t xml:space="preserve">PORTARIA</t>
  </si>
  <si>
    <t xml:space="preserve">K19-204-FER-RI-083-R00</t>
  </si>
  <si>
    <t xml:space="preserve">K19-204-FER-IS-061</t>
  </si>
  <si>
    <t xml:space="preserve">MG20231798235</t>
  </si>
  <si>
    <t xml:space="preserve">P9-A2</t>
  </si>
  <si>
    <t xml:space="preserve">PORTARIA OESTE</t>
  </si>
  <si>
    <t xml:space="preserve">Portaria Oeste</t>
  </si>
  <si>
    <t xml:space="preserve">K19-204-FER-RI-012-R00</t>
  </si>
  <si>
    <t xml:space="preserve">K19-204-FER-RI-012-R01</t>
  </si>
  <si>
    <t xml:space="preserve">K19-204-FER-IS-074</t>
  </si>
  <si>
    <t xml:space="preserve">MG20243187277</t>
  </si>
  <si>
    <t xml:space="preserve">P13-A3</t>
  </si>
  <si>
    <t xml:space="preserve">Centro de Treinamento</t>
  </si>
  <si>
    <t xml:space="preserve">Guarita Centro de Treinamento</t>
  </si>
  <si>
    <t xml:space="preserve">K19-204-FER-RI-087-R00</t>
  </si>
  <si>
    <t xml:space="preserve">K19-204-FER-IS-067</t>
  </si>
  <si>
    <t xml:space="preserve">Escritório da Mina</t>
  </si>
  <si>
    <t xml:space="preserve">K19-204-FER-RI-024-R01</t>
  </si>
  <si>
    <t xml:space="preserve">K19-204-FER-IS-070</t>
  </si>
  <si>
    <t xml:space="preserve">MG20232225250</t>
  </si>
  <si>
    <t xml:space="preserve">Caminhão Elétrico</t>
  </si>
  <si>
    <t xml:space="preserve">MG20232225426</t>
  </si>
  <si>
    <t xml:space="preserve">Área adequada , projeto instalado. *Área provisória. Verificar permanença da área</t>
  </si>
  <si>
    <t xml:space="preserve">VERIFICAR SE EXISTE NA ÁREA</t>
  </si>
  <si>
    <t xml:space="preserve">Patio Equipamentos de Içar </t>
  </si>
  <si>
    <t xml:space="preserve">K19-204-FER-RI-091-R00</t>
  </si>
  <si>
    <t xml:space="preserve">K19-204-FER-IS-073</t>
  </si>
  <si>
    <t xml:space="preserve">MG20232225356</t>
  </si>
  <si>
    <t xml:space="preserve">P12-A4</t>
  </si>
  <si>
    <t xml:space="preserve">Ponto de Ônibus Adm</t>
  </si>
  <si>
    <t xml:space="preserve">K19-204-FER-RI-092-R00</t>
  </si>
  <si>
    <t xml:space="preserve">K19-204-FER-IS-077</t>
  </si>
  <si>
    <t xml:space="preserve">K19-204-FER-RI-093-R00</t>
  </si>
  <si>
    <t xml:space="preserve">K19-204-FER-IS-087</t>
  </si>
  <si>
    <t xml:space="preserve">MG20242821567</t>
  </si>
  <si>
    <t xml:space="preserve">P12-A2</t>
  </si>
  <si>
    <t xml:space="preserve">K19-204-FER-RI-094-R00</t>
  </si>
  <si>
    <t xml:space="preserve">K19-204-FER-IS-083</t>
  </si>
  <si>
    <t xml:space="preserve">MG20242822155</t>
  </si>
  <si>
    <t xml:space="preserve">P12-A1</t>
  </si>
  <si>
    <t xml:space="preserve">Torre de Telecomunicações Nascente</t>
  </si>
  <si>
    <t xml:space="preserve">K19-204-FER-RI-095-R00</t>
  </si>
  <si>
    <t xml:space="preserve">K19-204-FER-IS-084</t>
  </si>
  <si>
    <t xml:space="preserve">MG20242822231</t>
  </si>
  <si>
    <t xml:space="preserve">P15-A3</t>
  </si>
  <si>
    <t xml:space="preserve">Escritório Adm</t>
  </si>
  <si>
    <t xml:space="preserve">K19-204-FER-RI-096-R00</t>
  </si>
  <si>
    <t xml:space="preserve">K19-204-FER-DE-089</t>
  </si>
  <si>
    <t xml:space="preserve">K19-204-FER-IS-085</t>
  </si>
  <si>
    <t xml:space="preserve">MG20242822206</t>
  </si>
  <si>
    <t xml:space="preserve">P12-A5</t>
  </si>
  <si>
    <t xml:space="preserve">Restaurante ITM</t>
  </si>
  <si>
    <t xml:space="preserve">Refeitório ITM</t>
  </si>
  <si>
    <t xml:space="preserve">K19-204-FER-RI-102-R00</t>
  </si>
  <si>
    <t xml:space="preserve">K19-204-FER-MC-105</t>
  </si>
  <si>
    <t xml:space="preserve">K19-204-FER-DE-095</t>
  </si>
  <si>
    <t xml:space="preserve">K19-204-FER-MD-090</t>
  </si>
  <si>
    <t xml:space="preserve">K19-204-FER-LM-090</t>
  </si>
  <si>
    <t xml:space="preserve">MG20242822083</t>
  </si>
  <si>
    <t xml:space="preserve">P14-A5</t>
  </si>
  <si>
    <t xml:space="preserve">Laboratório de Processos</t>
  </si>
  <si>
    <t xml:space="preserve">K19-204-FER-RI-089-R01</t>
  </si>
  <si>
    <t xml:space="preserve">K19-204-FER-IS-086</t>
  </si>
  <si>
    <t xml:space="preserve">9047</t>
  </si>
  <si>
    <t xml:space="preserve">ETE CTE</t>
  </si>
  <si>
    <t xml:space="preserve">K19-204-FER-IS-082</t>
  </si>
  <si>
    <t xml:space="preserve"> ETE Escritorio Adm</t>
  </si>
  <si>
    <t xml:space="preserve">ETE Platô Adm</t>
  </si>
  <si>
    <t xml:space="preserve">K19-204-FER-RI-097-R00</t>
  </si>
  <si>
    <t xml:space="preserve">K19-204-FER-MC-100</t>
  </si>
  <si>
    <t xml:space="preserve">K19-204-FER-DE-090</t>
  </si>
  <si>
    <t xml:space="preserve">K19-204-FER-MD-085</t>
  </si>
  <si>
    <t xml:space="preserve">K19-204-FER-LM-085</t>
  </si>
  <si>
    <t xml:space="preserve">K19-204-FER-IS-079</t>
  </si>
  <si>
    <t xml:space="preserve">MG20243347939</t>
  </si>
  <si>
    <t xml:space="preserve">P13-A5</t>
  </si>
  <si>
    <t xml:space="preserve">Canteiro Implantação de Projetos</t>
  </si>
  <si>
    <t xml:space="preserve">K19-204-FER-RI-098-R00</t>
  </si>
  <si>
    <t xml:space="preserve">K19-204-FER-MC-101</t>
  </si>
  <si>
    <t xml:space="preserve">K19-204-FER-DE-091</t>
  </si>
  <si>
    <t xml:space="preserve">K19-204-FER-MD-086</t>
  </si>
  <si>
    <t xml:space="preserve">K19-204-FER-LM-086</t>
  </si>
  <si>
    <t xml:space="preserve">Concentrador Norte - Andromeda - Geotecnia</t>
  </si>
  <si>
    <t xml:space="preserve">Andromeda AURO</t>
  </si>
  <si>
    <t xml:space="preserve">K19-204-FER-RI-099-R00</t>
  </si>
  <si>
    <t xml:space="preserve">K19-204-FER-MC-102</t>
  </si>
  <si>
    <t xml:space="preserve">K19-204-FER-DE-092</t>
  </si>
  <si>
    <t xml:space="preserve">K19-204-FER-MD-087</t>
  </si>
  <si>
    <t xml:space="preserve">K19-204-FER-LM-087</t>
  </si>
  <si>
    <t xml:space="preserve">MG20243525226</t>
  </si>
  <si>
    <t xml:space="preserve">P14-A2</t>
  </si>
  <si>
    <t xml:space="preserve">ETR - Estação Total Robotizada - Josino</t>
  </si>
  <si>
    <t xml:space="preserve">ETR Josino</t>
  </si>
  <si>
    <t xml:space="preserve">K19-204-FER-RI-100-R00</t>
  </si>
  <si>
    <t xml:space="preserve">K19-204-FER-MC-103</t>
  </si>
  <si>
    <t xml:space="preserve">K19-204-FER-DE-093</t>
  </si>
  <si>
    <t xml:space="preserve">K19-204-FER-MD-088</t>
  </si>
  <si>
    <t xml:space="preserve">K19-204-FER-LM-088</t>
  </si>
  <si>
    <t xml:space="preserve">MG20243525125</t>
  </si>
  <si>
    <t xml:space="preserve">P14-A3</t>
  </si>
  <si>
    <t xml:space="preserve">Pátio Civil</t>
  </si>
  <si>
    <t xml:space="preserve">K19-204-FER-RI-101-R00</t>
  </si>
  <si>
    <t xml:space="preserve">K19-204-FER-MC-104</t>
  </si>
  <si>
    <t xml:space="preserve">K19-204-FER-DE-094</t>
  </si>
  <si>
    <t xml:space="preserve">K19-204-FER-MD-089</t>
  </si>
  <si>
    <t xml:space="preserve">K19-204-FER-LM-089</t>
  </si>
  <si>
    <t xml:space="preserve">MG20253733269</t>
  </si>
  <si>
    <t xml:space="preserve">P14-A4</t>
  </si>
  <si>
    <t xml:space="preserve">ETE ITM</t>
  </si>
  <si>
    <t xml:space="preserve">MG20253733350</t>
  </si>
  <si>
    <t xml:space="preserve">Máquina de Sondagem</t>
  </si>
  <si>
    <t xml:space="preserve">K19-204-FER-RI-103-R00</t>
  </si>
  <si>
    <t xml:space="preserve">MG20242821998</t>
  </si>
  <si>
    <t xml:space="preserve">CRIAR ÁREA </t>
  </si>
  <si>
    <t xml:space="preserve">Poço de Trabalho PT 8</t>
  </si>
  <si>
    <t xml:space="preserve">Poço 08</t>
  </si>
  <si>
    <t xml:space="preserve">K19-204-FER-RI-104-R00</t>
  </si>
  <si>
    <t xml:space="preserve">K19-204-FER-MC-106</t>
  </si>
  <si>
    <t xml:space="preserve">K19-204-FER-DE-096</t>
  </si>
  <si>
    <t xml:space="preserve">K19-204-FER-MD-091</t>
  </si>
  <si>
    <t xml:space="preserve">K19-204-FER-LM-091</t>
  </si>
  <si>
    <t xml:space="preserve">MG20253815649</t>
  </si>
  <si>
    <t xml:space="preserve">ETR - Estação Total Robotizada - Norte</t>
  </si>
  <si>
    <t xml:space="preserve">ETR Norte</t>
  </si>
  <si>
    <t xml:space="preserve">K19-204-FER-MC-107</t>
  </si>
  <si>
    <t xml:space="preserve">K19-204-FER-DE-097</t>
  </si>
  <si>
    <t xml:space="preserve">K19-204-FER-MD-092</t>
  </si>
  <si>
    <t xml:space="preserve">K19-204-FER-LM-092</t>
  </si>
  <si>
    <t xml:space="preserve">MG20253901192</t>
  </si>
  <si>
    <t xml:space="preserve">P15-A1</t>
  </si>
  <si>
    <t xml:space="preserve">ETR - Estação Total Robotizada - Leste</t>
  </si>
  <si>
    <t xml:space="preserve">ETR Leste</t>
  </si>
  <si>
    <t xml:space="preserve">K19-204-FER-RI-106-R00</t>
  </si>
  <si>
    <t xml:space="preserve">K19-204-FER-MC-108</t>
  </si>
  <si>
    <t xml:space="preserve">K19-204-FER-DE-098</t>
  </si>
  <si>
    <t xml:space="preserve">K19-204-FER-MD-093</t>
  </si>
  <si>
    <t xml:space="preserve">K19-204-FER-LM-093</t>
  </si>
  <si>
    <t xml:space="preserve">MG20253901298</t>
  </si>
  <si>
    <t xml:space="preserve">P15-A2</t>
  </si>
  <si>
    <t xml:space="preserve">Plataforma de enlonamento</t>
  </si>
  <si>
    <t xml:space="preserve">Plataforma de Enlonamento</t>
  </si>
  <si>
    <t xml:space="preserve">K19-204-FER-RI-107-R00</t>
  </si>
  <si>
    <t xml:space="preserve">K19-204-FER-MC-109</t>
  </si>
  <si>
    <t xml:space="preserve">K19-204-FER-DE-099</t>
  </si>
  <si>
    <t xml:space="preserve">K19-204-FER-MD-094</t>
  </si>
  <si>
    <t xml:space="preserve">K19-204-FER-LM-094</t>
  </si>
  <si>
    <t xml:space="preserve">Torre de Telecomunicações Link Internet</t>
  </si>
  <si>
    <t xml:space="preserve">Pátio Almoxarifado - Apoio</t>
  </si>
  <si>
    <t xml:space="preserve">Pátio Materiais Manutenção ITM</t>
  </si>
  <si>
    <t xml:space="preserve">LEGENDA</t>
  </si>
  <si>
    <t xml:space="preserve">VERIFICAR ÁREA </t>
  </si>
  <si>
    <t xml:space="preserve">CRIAR ÁREA NO GREENDOCS</t>
  </si>
  <si>
    <t xml:space="preserve">NÃO EXSTE A ÁREA DO QGIS MAS NA LD SIM</t>
  </si>
  <si>
    <t xml:space="preserve">VERIFICAR A EXISTÊNCIA DO CONTÊINER NA PLANTA</t>
  </si>
  <si>
    <t xml:space="preserve">&lt;!DOCTYPE html&gt;
&lt;html lang="pt-BR"&gt;
&lt;head&gt;
&lt;meta charset="UTF-8"&gt;
&lt;meta name="viewport" content="width=device-width, initial-scale=1"&gt;
&lt;title&gt;MSI Engenharia — Painel SPDA · Ferro+ Mineração&lt;/title&gt;
&lt;style&gt;
:root {
  color-scheme: light;
  --page: #f9f9f7;
  --surface: #ffffff;
  --text-primary: #0b0b0b;
  --text-secondary: #52514e;
  --muted: #898781;
  --gridline: #e1e0d9;
  --border: rgba(11,11,11,0.10);
  --brand: #1F3864;
  --brand-light: #2E4E8C;
  --series-1: #2a78d6;
  --status-good: #0ca30c;
  --status-warning: #fab219;
  --status-serious: #ec835a;
  --status-critical: #d03b3b;
  --tone-good-bg: #e8f6e8;
  --tone-warning-bg: #fff4e0;
  --tone-critical-bg: #fbe9e9;
  --tone-brand-bg: #e9edf5;
}
:root[data-theme="dark"] {
  color-scheme: dark;
  --page: #0d0d0d;
  --surface: #1a1a19;
  --text-primary: #ffffff;
  --text-secondary: #c3c2b7;
  --muted: #898781;
  --gridline: #2c2c2a;
  --border: rgba(255,255,255,0.10);
  --brand: #4a6fb5;
  --brand-light: #5c82c9;
  --series-1: #3987e5;
  --tone-good-bg: #123312;
  --tone-warning-bg: #3a2c0c;
  --tone-critical-bg: #3a1414;
  --tone-brand-bg: #182236;
}
* { box-sizing: border-box; }
body {
  margin: 0;
  font-family: system-ui, -apple-system, "Segoe UI", sans-serif;
  background: var(--page);
  color: var(--text-primary);
}
.wrap { max-width: 1180px; margin: 0 auto; padding: 28px 24px 60px; }
header.top {
  display: flex; justify-content: space-between; align-items: flex-start;
  padding-bottom: 20px; border-bottom: 3px solid var(--brand); margin-bottom: 24px;
}
.brand-block .wordmark { font-size: 26px; font-weight: 800; color: var(--brand); letter-spacing: 0.5px; }
.brand-block .tagline { font-size: 12px; color: var(--muted); letter-spacing: 2px; text-transform: uppercase; margin-top: 2px;}
.brand-block .meta { margin-top: 10px; font-size: 13px; color: var(--text-secondary); line-height: 1.5; }
.theme-toggle {
  border: 1px solid var(--border); background: var(--surface); color: var(--text-secondary);
  border-radius: 999px; padding: 8px 14px; font-size: 13px; cursor: pointer;
}
h1.title { font-size: 20px; margin: 0 0 4px; }
.subtitle { color: var(--text-secondary); font-size: 14px; margin: 0 0 24px; }
.stat-grid { display: grid; grid-template-columns: repeat(6, 1fr); gap: 14px; margin-bottom: 28px; }
.stat-tile {
  background: var(--surface); border: 1px solid var(--border); border-radius: 10px;
  padding: 16px 14px; text-align: center;
}
.stat-tile .stat-value { font-size: 30px; font-weight: 700; line-height: 1.1; }
.stat-tile .stat-label { font-size: 12px; color: var(--text-secondary); margin-top: 6px; line-height: 1.3; min-height: 32px; }
.stat-tile .stat-sub { font-size: 11px; color: var(--muted); margin-top: 4px; }
.tone-brand .stat-value { color: var(--brand); }
.tone-good .stat-value { color: var(--status-good); }
.tone-warning .stat-value { color: #a86a00; }
.tone-critical .stat-value { color: var(--status-critical); }
:root[data-theme="dark"] .tone-warning .stat-value { color: var(--status-warning); }
.grid-2 { display: grid; grid-template-columns: 1fr 1fr; gap: 18px; margin-bottom: 18px; }
.card {
  background: var(--surface); border: 1px solid var(--border); border-radius: 12px; padding: 18px 20px;
}
.card-head { display: flex; justify-content: space-between; align-items: center; margin-bottom: 6px; }
.card h3 { font-size: 15px; margin: 0; }
.toggle-btn {
  font-size: 12px; border: 1px solid var(--border); background: transparent; color: var(--text-secondary);
  padding: 5px 10px; border-radius: 6px; cursor: pointer;
}
.toggle-btn:hover { background: var(--page); }
.legend { display: flex; flex-wrap: wrap; gap: 12px; font-size: 12px; color: var(--text-secondary); margin: 8px 0 4px; }
.legend-item { display: flex; align-items: center; gap: 6px; }
.legend-swatch { width: 10px; height: 10px; border-radius: 2px; display: inline-block; }
.bar-chart { width: 100%; height: auto; }
.bar-track { fill: var(--gridline); }
.bar-catlabel { font-size: 12px; fill: var(--text-secondary); }
.bar-vallabel { font-size: 12px; fill: var(--text-primary); font-weight: 600; }
.bar-g { cursor: pointer; outline: none; }
.bar-g:focus .bar-fill, .bar-g:hover .bar-fill { opacity: 0.82; }
.data-table { width: 100%; border-collapse: collapse; font-size: 13px; }
.data-table th, .data-table td { text-align: left; padding: 7px 8px; border-bottom: 1px solid var(--gridline); }
.data-table th.num, .data-table td.num { text-align: right; font-variant-numeric: tabular-nums; }
.section-title { font-size: 17px; margin: 32px 0 4px; }
.section-sub { font-size: 13px; color: var(--text-secondary); margin: 0 0 14px; }
.alert-banner {
  display: flex; align-items: center; gap: 14px; background: var(--tone-critical-bg);
  border: 1px solid var(--status-critical); border-radius: 10px; padding: 14px 18px; margin-bottom: 22px;
}
.alert-banner .icon { font-size: 22px; }
.alert-banner strong { color: var(--status-critical); }
table.list-table { width: 100%; border-collapse: collapse; font-size: 13px; background: var(--surface);
  border: 1px solid var(--border); border-radius: 10px; overflow: hidden; }
table.list-table th {
  background: var(--brand); color: #fff; text-align: left; padding: 10px 12px; font-weight: 600;
}
table.list-table td { padding: 9px 12px; border-bottom: 1px solid var(--gridline); vertical-align: top; }
table.list-table tr:last-child td { border-bottom: none; }
.table-note { font-size: 12px; color: var(--muted); margin: 8px 2px 0; }
.badge { display: inline-block; padding: 3px 9px; border-radius: 999px; font-size: 12px; font-weight: 600; white-space: nowrap; }
.badge.tone-critical { background: var(--tone-critical-bg); color: var(--status-critical); }
.badge.tone-warning { background: var(--tone-warning-bg); color: #a86a00; }
:root[data-theme="dark"] .badge.tone-warning { color: var(--status-warning); }
.tooltip {
  position: fixed; pointer-events: none; background: var(--text-primary); color: var(--surface);
  font-size: 12px; padding: 6px 10px; border-radius: 6px; opacity: 0; transform: translate(-50%, -110%);
  transition: opacity 0.1s; z-index: 50; white-space: nowrap;
}
.tooltip.show { opacity: 0.95; }
.tooltip .tt-value { font-weight: 700; }
footer { margin-top: 40px; padding-top: 16px; border-top: 1px solid var(--gridline); font-size: 12px; color: var(--muted); }
@media (max-width: 860px) {
  .stat-grid { grid-template-columns: repeat(2, 1fr); }
  .grid-2 { grid-template-columns: 1fr; }
}
&lt;/style&gt;
&lt;/head&gt;
&lt;body&gt;
&lt;div class="wrap"&gt;
  &lt;header class="top"&gt;
    &lt;div class="brand-block"&gt;
      &lt;div class="wordmark"&gt;MSI ENGENHARIA E TECNOLOGIA&lt;/div&gt;
      &lt;div class="tagline"&gt;Painel de acompanhamento SPDA&lt;/div&gt;
      &lt;div class="meta"&gt;
        Contrato {{CONTRATO}} — {{CLIENTE}}&lt;br&gt;
        Objeto: {{OBJETO}}&lt;br&gt;
        Gerado em {{GERADO_EM}} · fonte: planilha K19-204-FER-LD-001
      &lt;/div&gt;
    &lt;/div&gt;
    &lt;button class="theme-toggle" id="themeToggle" type="button"&gt;Modo escuro&lt;/button&gt;
  &lt;/header&gt;
  &lt;h1 class="title"&gt;Resumo geral&lt;/h1&gt;
  &lt;p class="subtitle"&gt;Indicadores consolidados a partir do controle de áreas, ordens de serviço e documentação técnica.&lt;/p&gt;
  &lt;div class="stat-grid"&gt;{{KPI_HTML}}&lt;/div&gt;
  &lt;div class="grid-2"&gt;
    {{STATUS_CHART}}
    {{OS_CHART}}
  &lt;/div&gt;
  &lt;h2 class="section-title"&gt;Vencimentos de laudos e inspeções&lt;/h2&gt;
  &lt;p class="section-sub"&gt;Documentos de conformidade (laudo completo por medição e inspeção semestral) organizados por urgência.&lt;/p&gt;
  &lt;div class="alert-banner"&gt;
    &lt;span class="icon"&gt;⚠️&lt;/span&gt;
    &lt;div&gt;&lt;strong&gt;{{VENCIDOS_COUNT}} documentos vencidos&lt;/strong&gt; em {{AREAS_AFETADAS}} das {{AREAS_TOTAL}} áreas monitoradas
    ({{PERCENT_AFETADAS}}%). Recomenda-se priorizar a renovação das inspeções semestrais e laudos completos abaixo.&lt;/div&gt;
  &lt;/div&gt;
  &lt;table class="list-table"&gt;
    &lt;thead&gt;&lt;tr&gt;&lt;th&gt;Área&lt;/th&gt;&lt;th&gt;Documento&lt;/th&gt;&lt;th&gt;Validade&lt;/th&gt;&lt;th&gt;Situação&lt;/th&gt;&lt;/tr&gt;&lt;/thead&gt;
    &lt;tbody&gt;{{VENC_ROWS}}&lt;/tbody&gt;
  &lt;/table&gt;
  {{RESTO_NOTE}}
  &lt;h2 class="section-title"&gt;Pendências abertas&lt;/h2&gt;
  &lt;p class="section-sub"&gt;Ações registradas na aba Controle que ainda não foram concluídas.&lt;/p&gt;
  &lt;table class="list-table"&gt;
    &lt;thead&gt;&lt;tr&gt;&lt;th&gt;Área&lt;/th&gt;&lt;th&gt;Ação pendente&lt;/th&gt;&lt;/tr&gt;&lt;/thead&gt;
    &lt;tbody&gt;{{PEND_ROWS}}&lt;/tbody&gt;
  &lt;/table&gt;
  &lt;h2 class="section-title"&gt;Documentação técnica emitida&lt;/h2&gt;
  &lt;p class="section-sub"&gt;Volume de documentos emitidos por tipo, desde o início do contrato.&lt;/p&gt;
  {{DOC_CHART}}
  &lt;footer&gt;
    Registros de diário de obra (RDO): {{RDO_COUNT}} lançamentos, de {{RDO_FIRST}} a {{RDO_LAST}}.
    Painel gerado automaticamente a partir da planilha de controle — para atualizar, abra a planilha no Excel,
    clique no botão "Atualizar Dashboard" e envie o novo arquivo HTML gerado. MSI Engenharia e Tecnologia © {{ANO}}.
  &lt;/footer&gt;
&lt;/div&gt;
&lt;div class="tooltip" id="tooltip"&gt;&lt;span class="tt-value" id="tt-value"&gt;&lt;/span&gt; &lt;span id="tt-label"&gt;&lt;/span&gt;&lt;/div&gt;
&lt;script&gt;
(function() {
  var toggleBtn = document.getElementById('themeToggle');
  var root = document.documentElement;
  toggleBtn.addEventListener('click', function() {
    var isDark = root.getAttribute('data-theme') === 'dark';
    root.setAttribute('data-theme', isDark ? 'light' : 'dark');
    toggleBtn.textContent = isDark ? 'Modo escuro' : 'Modo claro';
  });
  document.querySelectorAll('.toggle-btn[data-target]').forEach(function(btn) {
    btn.addEventListener('click', function() {
      var wrap = document.getElementById(btn.getAttribute('data-target'));
      var chartView = wrap.querySelector('.chart-view');
      var tableView = wrap.querySelector('.table-view');
      var showingTable = !tableView.hidden;
      tableView.hidden = showingTable;
      chartView.hidden = !showingTable;
      btn.textContent = showingTable ? 'Ver tabela' : 'Ver gráfico';
    });
  });
  var tooltip = document.getElementById('tooltip');
  var ttValue = document.getElementById('tt-value');
  var ttLabel = document.getElementById('tt-label');
  function showTip(e, g) {
    ttValue.textContent = g.getAttribute('data-value');
    ttLabel.textContent = g.getAttribute('data-label');
    tooltip.classList.add('show');
    moveTip(e);
  }
  function moveTip(e) {
    var x = e.clientX !== undefined ? e.clientX : (e.target.getBoundingClientRect().left);
    var y = e.clientY !== undefined ? e.clientY : (e.target.getBoundingClientRect().top);
    tooltip.style.left = x + 'px';
    tooltip.style.top = y + 'px';
  }
  function hideTip() { tooltip.classList.remove('show'); }
  document.querySelectorAll('.bar-g').forEach(function(g) {
    g.addEventListener('pointermove', function(e) { showTip(e, g); });
    g.addEventListener('pointerenter', function(e) { showTip(e, g); });
    g.addEventListener('pointerleave', hideTip);
    g.addEventListener('focus', function(e) {
      var rect = g.getBoundingClientRect();
      showTip({clientX: rect.left + rect.width/2, clientY: rect.top}, g);
    });
    g.addEventListener('blur', hideTip);
  });
})();
&lt;/script&gt;
&lt;/body&gt;
&lt;/html&gt;
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</si>
</sst>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&quot;R$&quot;* #,##0.00_-;&quot;-R$&quot;* #,##0.00_-;_-&quot;R$&quot;* \-??_-;_-@_-"/>
    <numFmt numFmtId="166" formatCode="0"/>
    <numFmt numFmtId="167" formatCode="0.0%"/>
    <numFmt numFmtId="168" formatCode="General"/>
    <numFmt numFmtId="169" formatCode="_(&quot;R$&quot;* #,##0.00_);_(&quot;R$&quot;* \(#,##0.00\);_(&quot;R$&quot;* \-??_);_(@_)"/>
    <numFmt numFmtId="170" formatCode="mmm\-yy"/>
    <numFmt numFmtId="171" formatCode="0.00"/>
    <numFmt numFmtId="172" formatCode="dd/mm/yyyy"/>
    <numFmt numFmtId="173" formatCode="@"/>
    <numFmt numFmtId="174" formatCode="0%"/>
    <numFmt numFmtId="175" formatCode="0.00%"/>
  </numFmts>
  <fonts count="2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8"/>
      <color rgb="FF1F3864"/>
      <name val="Arial"/>
      <family val="2"/>
      <charset val="1"/>
    </font>
    <font>
      <b val="true"/>
      <sz val="11"/>
      <color rgb="FF404040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20"/>
      <color rgb="FFFFFFFF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b val="true"/>
      <sz val="9"/>
      <color rgb="FF404040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2"/>
      <charset val="1"/>
    </font>
    <font>
      <sz val="9"/>
      <color rgb="FF40404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9"/>
      <color rgb="FF1F3864"/>
      <name val="Arial"/>
      <family val="2"/>
      <charset val="1"/>
    </font>
    <font>
      <i val="true"/>
      <sz val="9"/>
      <color rgb="FF40404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0CA30C"/>
        <bgColor rgb="FF00B050"/>
      </patternFill>
    </fill>
    <fill>
      <patternFill patternType="solid">
        <fgColor rgb="FFFAB219"/>
        <bgColor rgb="FFFFCC00"/>
      </patternFill>
    </fill>
    <fill>
      <patternFill patternType="solid">
        <fgColor rgb="FFD03B3B"/>
        <bgColor rgb="FF993300"/>
      </patternFill>
    </fill>
    <fill>
      <patternFill patternType="solid">
        <fgColor rgb="FFEC835A"/>
        <bgColor rgb="FFFF6600"/>
      </patternFill>
    </fill>
    <fill>
      <patternFill patternType="solid">
        <fgColor theme="0"/>
        <bgColor rgb="FFF9F9F9"/>
      </patternFill>
    </fill>
    <fill>
      <patternFill patternType="solid">
        <fgColor rgb="FF2E4E8C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99CCFF"/>
        <bgColor rgb="FF8EB4E3"/>
      </patternFill>
    </fill>
    <fill>
      <patternFill patternType="solid">
        <fgColor theme="6" tint="0.799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D03B3B"/>
      </patternFill>
    </fill>
    <fill>
      <patternFill patternType="solid">
        <fgColor theme="9" tint="0.7998"/>
        <bgColor rgb="FFEBF1DE"/>
      </patternFill>
    </fill>
    <fill>
      <patternFill patternType="solid">
        <fgColor theme="4" tint="0.7998"/>
        <bgColor rgb="FFD9D9D9"/>
      </patternFill>
    </fill>
    <fill>
      <patternFill patternType="solid">
        <fgColor theme="5" tint="0.5998"/>
        <bgColor rgb="FFBFBFBF"/>
      </patternFill>
    </fill>
    <fill>
      <patternFill patternType="solid">
        <fgColor rgb="FF9AE099"/>
        <bgColor rgb="FFBFBFBF"/>
      </patternFill>
    </fill>
    <fill>
      <patternFill patternType="solid">
        <fgColor rgb="FF00B050"/>
        <bgColor rgb="FF0CA30C"/>
      </patternFill>
    </fill>
    <fill>
      <patternFill patternType="solid">
        <fgColor theme="0" tint="-0.35"/>
        <bgColor rgb="FF9E9E9E"/>
      </patternFill>
    </fill>
    <fill>
      <patternFill patternType="solid">
        <fgColor rgb="FF00B0F0"/>
        <bgColor rgb="FF33CCCC"/>
      </patternFill>
    </fill>
    <fill>
      <patternFill patternType="solid">
        <fgColor theme="3" tint="0.5998"/>
        <bgColor rgb="FF99CCFF"/>
      </patternFill>
    </fill>
    <fill>
      <patternFill patternType="solid">
        <fgColor theme="7" tint="-0.25"/>
        <bgColor rgb="FF59595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9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9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9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1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9" borderId="1" xfId="1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3" fontId="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Moeda 2 2" xfId="21"/>
    <cellStyle name="Moeda 2 3" xfId="22"/>
    <cellStyle name="Moeda 3" xfId="23"/>
  </cellStyles>
  <dxfs count="3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ont>
        <b val="1"/>
        <color rgb="FFFFFFFF"/>
      </font>
      <fill>
        <patternFill>
          <bgColor rgb="FFD03B3B"/>
        </patternFill>
      </fill>
    </dxf>
    <dxf>
      <fill>
        <patternFill>
          <bgColor rgb="FFFAB219"/>
        </patternFill>
      </fill>
    </dxf>
    <dxf>
      <font>
        <color rgb="FFFFFFFF"/>
      </font>
      <fill>
        <patternFill>
          <bgColor rgb="FF9E9E9E"/>
        </patternFill>
      </fill>
    </dxf>
    <dxf>
      <font>
        <b val="1"/>
        <color rgb="FFFFFFFF"/>
      </font>
      <fill>
        <patternFill>
          <bgColor rgb="FF0CA30C"/>
        </patternFill>
      </fill>
    </dxf>
    <dxf>
      <fill>
        <patternFill patternType="solid">
          <fgColor rgb="FF9AE0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0CA30C"/>
          <bgColor rgb="FF000000"/>
        </patternFill>
      </fill>
    </dxf>
    <dxf>
      <fill>
        <patternFill patternType="solid">
          <fgColor rgb="FF83AB13"/>
          <bgColor rgb="FF000000"/>
        </patternFill>
      </fill>
    </dxf>
    <dxf>
      <fill>
        <patternFill patternType="solid">
          <fgColor rgb="FFD03B3B"/>
          <bgColor rgb="FF000000"/>
        </patternFill>
      </fill>
    </dxf>
    <dxf>
      <fill>
        <patternFill patternType="solid">
          <fgColor rgb="FFFAB219"/>
          <bgColor rgb="FF000000"/>
        </patternFill>
      </fill>
    </dxf>
    <dxf>
      <fill>
        <patternFill patternType="solid">
          <fgColor rgb="FF48A710"/>
          <bgColor rgb="FF000000"/>
        </patternFill>
      </fill>
    </dxf>
    <dxf>
      <fill>
        <patternFill patternType="solid">
          <fgColor rgb="FFDDB11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EC835A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CA30C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AB21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EC835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03B3B"/>
        </patternFill>
      </fill>
    </dxf>
    <dxf>
      <fill>
        <patternFill>
          <bgColor rgb="FFFAB21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548235"/>
      <rgbColor rgb="FF800080"/>
      <rgbColor rgb="FF4F81BD"/>
      <rgbColor rgb="FFBFBFBF"/>
      <rgbColor rgb="FF878787"/>
      <rgbColor rgb="FF8EB4E3"/>
      <rgbColor rgb="FFD03B3B"/>
      <rgbColor rgb="FFF9F9F9"/>
      <rgbColor rgb="FFDCE6F2"/>
      <rgbColor rgb="FF660066"/>
      <rgbColor rgb="FFEC835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BF1DE"/>
      <rgbColor rgb="FFFDEADA"/>
      <rgbColor rgb="FF99CCFF"/>
      <rgbColor rgb="FFFF99CC"/>
      <rgbColor rgb="FFA6A6A6"/>
      <rgbColor rgb="FFE6B9B8"/>
      <rgbColor rgb="FF4472C4"/>
      <rgbColor rgb="FF33CCCC"/>
      <rgbColor rgb="FF9AE099"/>
      <rgbColor rgb="FFFFCC00"/>
      <rgbColor rgb="FFFAB219"/>
      <rgbColor rgb="FFFF6600"/>
      <rgbColor rgb="FF604A7B"/>
      <rgbColor rgb="FF9E9E9E"/>
      <rgbColor rgb="FF1F3864"/>
      <rgbColor rgb="FF00B050"/>
      <rgbColor rgb="FF003300"/>
      <rgbColor rgb="FF333300"/>
      <rgbColor rgb="FF993300"/>
      <rgbColor rgb="FF595959"/>
      <rgbColor rgb="FF2E4E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Áreas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0ca30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fab21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d03b3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ec835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Resumo!$B$14:$B$17</c:f>
              <c:strCache>
                <c:ptCount val="4"/>
                <c:pt idx="0">
                  <c:v>SPDA Conforme</c:v>
                </c:pt>
                <c:pt idx="1">
                  <c:v>Em andamento</c:v>
                </c:pt>
                <c:pt idx="2">
                  <c:v>SPDA Não Conforme</c:v>
                </c:pt>
                <c:pt idx="3">
                  <c:v>Paralisado/Novo Projeto</c:v>
                </c:pt>
              </c:strCache>
            </c:strRef>
          </c:cat>
          <c:val>
            <c:numRef>
              <c:f>Resumo!$C$14:$C$17</c:f>
              <c:numCache>
                <c:formatCode>General</c:formatCode>
                <c:ptCount val="4"/>
                <c:pt idx="0">
                  <c:v>88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81420138"/>
        <c:axId val="51360337"/>
      </c:barChart>
      <c:catAx>
        <c:axId val="814201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60337"/>
        <c:crosses val="autoZero"/>
        <c:auto val="1"/>
        <c:lblAlgn val="ctr"/>
        <c:lblOffset val="100"/>
        <c:noMultiLvlLbl val="0"/>
      </c:catAx>
      <c:valAx>
        <c:axId val="51360337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Qtde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0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272520</xdr:rowOff>
    </xdr:from>
    <xdr:to>
      <xdr:col>3</xdr:col>
      <xdr:colOff>1198800</xdr:colOff>
      <xdr:row>38</xdr:row>
      <xdr:rowOff>96120</xdr:rowOff>
    </xdr:to>
    <xdr:graphicFrame>
      <xdr:nvGraphicFramePr>
        <xdr:cNvPr id="0" name="Chart 1"/>
        <xdr:cNvGraphicFramePr/>
      </xdr:nvGraphicFramePr>
      <xdr:xfrm>
        <a:off x="211320" y="5877000"/>
        <a:ext cx="4300200" cy="21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657360</xdr:colOff>
      <xdr:row>0</xdr:row>
      <xdr:rowOff>19080</xdr:rowOff>
    </xdr:from>
    <xdr:to>
      <xdr:col>1</xdr:col>
      <xdr:colOff>164880</xdr:colOff>
      <xdr:row>1</xdr:row>
      <xdr:rowOff>182520</xdr:rowOff>
    </xdr:to>
    <xdr:pic>
      <xdr:nvPicPr>
        <xdr:cNvPr id="1" name="Imagem 2" descr=""/>
        <xdr:cNvPicPr/>
      </xdr:nvPicPr>
      <xdr:blipFill>
        <a:blip r:embed="rId1"/>
        <a:stretch/>
      </xdr:blipFill>
      <xdr:spPr>
        <a:xfrm>
          <a:off x="657360" y="19080"/>
          <a:ext cx="856800" cy="439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790560</xdr:colOff>
      <xdr:row>0</xdr:row>
      <xdr:rowOff>9360</xdr:rowOff>
    </xdr:from>
    <xdr:to>
      <xdr:col>1</xdr:col>
      <xdr:colOff>227520</xdr:colOff>
      <xdr:row>1</xdr:row>
      <xdr:rowOff>172800</xdr:rowOff>
    </xdr:to>
    <xdr:pic>
      <xdr:nvPicPr>
        <xdr:cNvPr id="2" name="Imagem 1" descr=""/>
        <xdr:cNvPicPr/>
      </xdr:nvPicPr>
      <xdr:blipFill>
        <a:blip r:embed="rId1"/>
        <a:stretch/>
      </xdr:blipFill>
      <xdr:spPr>
        <a:xfrm>
          <a:off x="790560" y="9360"/>
          <a:ext cx="856800" cy="439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729720</xdr:colOff>
      <xdr:row>0</xdr:row>
      <xdr:rowOff>38160</xdr:rowOff>
    </xdr:from>
    <xdr:to>
      <xdr:col>1</xdr:col>
      <xdr:colOff>195840</xdr:colOff>
      <xdr:row>1</xdr:row>
      <xdr:rowOff>190440</xdr:rowOff>
    </xdr:to>
    <xdr:pic>
      <xdr:nvPicPr>
        <xdr:cNvPr id="3" name="Imagem 1" descr=""/>
        <xdr:cNvPicPr/>
      </xdr:nvPicPr>
      <xdr:blipFill>
        <a:blip r:embed="rId1"/>
        <a:stretch/>
      </xdr:blipFill>
      <xdr:spPr>
        <a:xfrm>
          <a:off x="729720" y="38160"/>
          <a:ext cx="83520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647640</xdr:colOff>
      <xdr:row>0</xdr:row>
      <xdr:rowOff>47520</xdr:rowOff>
    </xdr:from>
    <xdr:to>
      <xdr:col>1</xdr:col>
      <xdr:colOff>21240</xdr:colOff>
      <xdr:row>1</xdr:row>
      <xdr:rowOff>152280</xdr:rowOff>
    </xdr:to>
    <xdr:pic>
      <xdr:nvPicPr>
        <xdr:cNvPr id="4" name="Imagem 2" descr=""/>
        <xdr:cNvPicPr/>
      </xdr:nvPicPr>
      <xdr:blipFill>
        <a:blip r:embed="rId1"/>
        <a:stretch/>
      </xdr:blipFill>
      <xdr:spPr>
        <a:xfrm>
          <a:off x="647640" y="47520"/>
          <a:ext cx="742680" cy="380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581040</xdr:colOff>
      <xdr:row>0</xdr:row>
      <xdr:rowOff>47520</xdr:rowOff>
    </xdr:from>
    <xdr:to>
      <xdr:col>0</xdr:col>
      <xdr:colOff>1333080</xdr:colOff>
      <xdr:row>1</xdr:row>
      <xdr:rowOff>156960</xdr:rowOff>
    </xdr:to>
    <xdr:pic>
      <xdr:nvPicPr>
        <xdr:cNvPr id="5" name="Imagem 1" descr=""/>
        <xdr:cNvPicPr/>
      </xdr:nvPicPr>
      <xdr:blipFill>
        <a:blip r:embed="rId1"/>
        <a:stretch/>
      </xdr:blipFill>
      <xdr:spPr>
        <a:xfrm>
          <a:off x="581040" y="47520"/>
          <a:ext cx="752040" cy="385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3.14"/>
    <col collapsed="false" customWidth="true" hidden="false" outlineLevel="0" max="8" min="8" style="0" width="26"/>
    <col collapsed="false" customWidth="true" hidden="false" outlineLevel="0" max="9" min="9" style="0" width="18"/>
  </cols>
  <sheetData>
    <row r="1" customFormat="false" ht="9.75" hidden="false" customHeight="true" outlineLevel="0" collapsed="false"/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6" customFormat="false" ht="30" hidden="false" customHeight="true" outlineLevel="0" collapsed="false">
      <c r="B6" s="4" t="n">
        <f aca="false">COUNTA(Controle!E4:E102)</f>
        <v>98</v>
      </c>
      <c r="C6" s="5" t="n">
        <f aca="false">COUNTIF(Controle!Z4:Z102,"SPDA Conforme")</f>
        <v>88</v>
      </c>
      <c r="D6" s="6" t="n">
        <f aca="false">COUNTIF(Controle!Z4:Z102,"Em andamento")</f>
        <v>3</v>
      </c>
      <c r="E6" s="7" t="n">
        <f aca="false">COUNTIF(Controle!Z4:Z102,"SPDA Não Conforme")</f>
        <v>1</v>
      </c>
      <c r="F6" s="8" t="n">
        <f aca="false">COUNTIF(Controle!Z4:Z102,"Paralisado/Novo Projeto")</f>
        <v>1</v>
      </c>
      <c r="G6" s="9"/>
    </row>
    <row r="7" customFormat="false" ht="27.75" hidden="false" customHeight="true" outlineLevel="0" collapsed="false">
      <c r="B7" s="10" t="s">
        <v>3</v>
      </c>
      <c r="C7" s="10" t="s">
        <v>4</v>
      </c>
      <c r="D7" s="10" t="s">
        <v>5</v>
      </c>
      <c r="E7" s="10" t="s">
        <v>6</v>
      </c>
      <c r="F7" s="10" t="s">
        <v>7</v>
      </c>
      <c r="G7" s="11"/>
    </row>
    <row r="8" customFormat="false" ht="30" hidden="false" customHeight="true" outlineLevel="0" collapsed="false">
      <c r="B8" s="12" t="n">
        <f aca="false">AVERAGE(Controle!P4:P102)</f>
        <v>0.983552631578947</v>
      </c>
      <c r="C8" s="6" t="n">
        <f aca="false">COUNTIFS(Controle!AC4:AC102,"&lt;&gt;OK",Controle!AC4:AC102,"&lt;&gt;")</f>
        <v>5</v>
      </c>
      <c r="D8" s="7" t="n">
        <f aca="true">COUNTIFS(Controle!T4:T102,"&lt;"&amp;TODAY(),Controle!T4:T102,"&lt;&gt;")</f>
        <v>54</v>
      </c>
      <c r="E8" s="6" t="n">
        <f aca="true">COUNTIFS(Controle!T4:T102,"&gt;="&amp;TODAY(),Controle!T4:T102,"&lt;="&amp;TODAY()+90)</f>
        <v>0</v>
      </c>
      <c r="F8" s="7" t="n">
        <f aca="true">COUNTIFS(Controle!W4:W102,"&lt;"&amp;TODAY(),Controle!W4:W102,"&lt;&gt;")</f>
        <v>90</v>
      </c>
    </row>
    <row r="9" customFormat="false" ht="27.75" hidden="false" customHeight="true" outlineLevel="0" collapsed="false"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</row>
    <row r="10" customFormat="false" ht="24.45" hidden="false" customHeight="false" outlineLevel="0" collapsed="false">
      <c r="B10" s="12" t="n">
        <f aca="false">COUNTA(RIs!M4:M99)</f>
        <v>0</v>
      </c>
      <c r="C10" s="6" t="n">
        <f aca="false">COUNTIF(RIs!O4:O99,"Aberta")</f>
        <v>0</v>
      </c>
      <c r="D10" s="7" t="n">
        <f aca="false">COUNTIF(RIs!O4:O99,"Corrigida")</f>
        <v>0</v>
      </c>
    </row>
    <row r="11" customFormat="false" ht="22.35" hidden="false" customHeight="false" outlineLevel="0" collapsed="false">
      <c r="B11" s="10" t="s">
        <v>13</v>
      </c>
      <c r="C11" s="10" t="s">
        <v>14</v>
      </c>
      <c r="D11" s="10" t="s">
        <v>15</v>
      </c>
    </row>
    <row r="12" customFormat="false" ht="15" hidden="false" customHeight="true" outlineLevel="0" collapsed="false">
      <c r="B12" s="13" t="s">
        <v>16</v>
      </c>
      <c r="C12" s="13"/>
      <c r="D12" s="14"/>
      <c r="E12" s="15"/>
      <c r="F12" s="15"/>
      <c r="G12" s="14"/>
    </row>
    <row r="13" customFormat="false" ht="12.75" hidden="false" customHeight="false" outlineLevel="0" collapsed="false">
      <c r="B13" s="16" t="s">
        <v>17</v>
      </c>
      <c r="C13" s="17" t="s">
        <v>18</v>
      </c>
      <c r="D13" s="14"/>
      <c r="E13" s="18"/>
      <c r="F13" s="18"/>
      <c r="G13" s="14"/>
    </row>
    <row r="14" customFormat="false" ht="15" hidden="false" customHeight="true" outlineLevel="0" collapsed="false">
      <c r="B14" s="19" t="s">
        <v>19</v>
      </c>
      <c r="C14" s="20" t="n">
        <f aca="false">COUNTIF(Controle!Z4:Z102,"SPDA Conforme")</f>
        <v>88</v>
      </c>
      <c r="D14" s="14"/>
      <c r="E14" s="21"/>
      <c r="F14" s="22"/>
      <c r="G14" s="14"/>
    </row>
    <row r="15" customFormat="false" ht="15" hidden="false" customHeight="true" outlineLevel="0" collapsed="false">
      <c r="B15" s="23" t="s">
        <v>5</v>
      </c>
      <c r="C15" s="20" t="n">
        <f aca="false">COUNTIF(Controle!Z4:Z102,"Em andamento")</f>
        <v>3</v>
      </c>
      <c r="D15" s="14"/>
      <c r="E15" s="24"/>
      <c r="F15" s="22"/>
      <c r="G15" s="14"/>
    </row>
    <row r="16" customFormat="false" ht="15" hidden="false" customHeight="true" outlineLevel="0" collapsed="false">
      <c r="B16" s="25" t="s">
        <v>20</v>
      </c>
      <c r="C16" s="20" t="n">
        <f aca="false">COUNTIF(Controle!Z4:Z102,"SPDA Não Conforme")</f>
        <v>1</v>
      </c>
      <c r="D16" s="14"/>
      <c r="E16" s="24"/>
      <c r="F16" s="22"/>
      <c r="G16" s="14"/>
    </row>
    <row r="17" customFormat="false" ht="15" hidden="false" customHeight="true" outlineLevel="0" collapsed="false">
      <c r="B17" s="26" t="s">
        <v>21</v>
      </c>
      <c r="C17" s="20" t="n">
        <f aca="false">COUNTIF(Controle!Z4:Z102,"Paralisado/Novo Projeto")</f>
        <v>1</v>
      </c>
      <c r="D17" s="14"/>
      <c r="E17" s="14"/>
      <c r="F17" s="14"/>
      <c r="G17" s="14"/>
    </row>
    <row r="18" customFormat="false" ht="15" hidden="false" customHeight="true" outlineLevel="0" collapsed="false">
      <c r="B18" s="13" t="s">
        <v>22</v>
      </c>
      <c r="C18" s="13"/>
    </row>
    <row r="19" customFormat="false" ht="12.75" hidden="false" customHeight="false" outlineLevel="0" collapsed="false">
      <c r="B19" s="16" t="s">
        <v>23</v>
      </c>
      <c r="C19" s="16" t="s">
        <v>24</v>
      </c>
    </row>
    <row r="20" customFormat="false" ht="12.75" hidden="false" customHeight="false" outlineLevel="0" collapsed="false">
      <c r="B20" s="27" t="s">
        <v>25</v>
      </c>
      <c r="C20" s="28" t="n">
        <f aca="false">COUNTA(Desenhos!A5:A93)</f>
        <v>88</v>
      </c>
    </row>
    <row r="21" customFormat="false" ht="12.75" hidden="false" customHeight="false" outlineLevel="0" collapsed="false">
      <c r="B21" s="29" t="s">
        <v>26</v>
      </c>
      <c r="C21" s="30" t="n">
        <f aca="false">COUNTA(MDs!A4:A87)</f>
        <v>84</v>
      </c>
    </row>
    <row r="22" customFormat="false" ht="12.75" hidden="false" customHeight="false" outlineLevel="0" collapsed="false">
      <c r="B22" s="27" t="s">
        <v>27</v>
      </c>
      <c r="C22" s="28" t="n">
        <f aca="false">COUNTA(LMs!A4:A89)</f>
        <v>86</v>
      </c>
    </row>
    <row r="23" customFormat="false" ht="12.75" hidden="false" customHeight="false" outlineLevel="0" collapsed="false">
      <c r="B23" s="29" t="s">
        <v>28</v>
      </c>
      <c r="C23" s="30" t="n">
        <f aca="false">COUNTA(MCs!A4:A98)</f>
        <v>95</v>
      </c>
    </row>
    <row r="24" customFormat="false" ht="12.75" hidden="false" customHeight="false" outlineLevel="0" collapsed="false">
      <c r="B24" s="27" t="s">
        <v>29</v>
      </c>
      <c r="C24" s="28" t="n">
        <f aca="false">COUNTA(RIs!A4:A99)</f>
        <v>96</v>
      </c>
    </row>
    <row r="26" customFormat="false" ht="30" hidden="false" customHeight="true" outlineLevel="0" collapsed="false">
      <c r="B26" s="31"/>
      <c r="C26" s="31"/>
      <c r="D26" s="31"/>
      <c r="E26" s="31"/>
      <c r="F26" s="31"/>
      <c r="G26" s="31"/>
      <c r="H26" s="31"/>
      <c r="I26" s="31"/>
    </row>
  </sheetData>
  <mergeCells count="7">
    <mergeCell ref="B2:I2"/>
    <mergeCell ref="B3:I3"/>
    <mergeCell ref="B4:I4"/>
    <mergeCell ref="B12:C12"/>
    <mergeCell ref="E12:F12"/>
    <mergeCell ref="B18:C18"/>
    <mergeCell ref="B26:I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AM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6" activeCellId="0" sqref="B16"/>
    </sheetView>
  </sheetViews>
  <sheetFormatPr defaultColWidth="22.00390625" defaultRowHeight="12.75" zeroHeight="false" outlineLevelRow="0" outlineLevelCol="0"/>
  <cols>
    <col collapsed="false" customWidth="true" hidden="false" outlineLevel="0" max="1" min="1" style="32" width="19.14"/>
    <col collapsed="false" customWidth="true" hidden="false" outlineLevel="0" max="2" min="2" style="32" width="15.85"/>
    <col collapsed="false" customWidth="true" hidden="false" outlineLevel="0" max="3" min="3" style="32" width="55.71"/>
    <col collapsed="false" customWidth="true" hidden="false" outlineLevel="0" max="4" min="4" style="32" width="91.57"/>
    <col collapsed="false" customWidth="true" hidden="false" outlineLevel="0" max="5" min="5" style="32" width="68.57"/>
    <col collapsed="false" customWidth="true" hidden="false" outlineLevel="0" max="6" min="6" style="32" width="81.42"/>
    <col collapsed="false" customWidth="true" hidden="false" outlineLevel="0" max="7" min="7" style="32" width="6.57"/>
    <col collapsed="false" customWidth="true" hidden="false" outlineLevel="0" max="8" min="8" style="32" width="7.42"/>
    <col collapsed="false" customWidth="true" hidden="false" outlineLevel="0" max="9" min="9" style="32" width="10.14"/>
    <col collapsed="false" customWidth="false" hidden="false" outlineLevel="0" max="16384" min="10" style="32" width="22"/>
  </cols>
  <sheetData>
    <row r="1" customFormat="false" ht="21.75" hidden="false" customHeight="true" outlineLevel="0" collapsed="false">
      <c r="A1" s="33"/>
      <c r="B1" s="33"/>
      <c r="C1" s="34" t="s">
        <v>30</v>
      </c>
      <c r="D1" s="34"/>
      <c r="E1" s="34"/>
      <c r="F1" s="34"/>
      <c r="G1" s="34"/>
      <c r="H1" s="34"/>
      <c r="I1" s="34"/>
    </row>
    <row r="2" customFormat="false" ht="15.75" hidden="false" customHeight="true" outlineLevel="0" collapsed="false">
      <c r="A2" s="33"/>
      <c r="B2" s="33"/>
      <c r="C2" s="35" t="s">
        <v>31</v>
      </c>
      <c r="D2" s="35"/>
      <c r="E2" s="35"/>
      <c r="F2" s="35"/>
      <c r="G2" s="35"/>
      <c r="H2" s="35"/>
      <c r="I2" s="35"/>
    </row>
    <row r="3" customFormat="false" ht="24" hidden="false" customHeight="true" outlineLevel="0" collapsed="false">
      <c r="A3" s="36" t="s">
        <v>32</v>
      </c>
      <c r="B3" s="36"/>
      <c r="C3" s="36"/>
      <c r="D3" s="36"/>
      <c r="E3" s="36"/>
      <c r="F3" s="36"/>
      <c r="G3" s="36"/>
      <c r="H3" s="36"/>
      <c r="I3" s="36"/>
    </row>
    <row r="4" customFormat="false" ht="30" hidden="false" customHeight="true" outlineLevel="0" collapsed="false">
      <c r="A4" s="37" t="s">
        <v>33</v>
      </c>
      <c r="B4" s="37" t="s">
        <v>34</v>
      </c>
      <c r="C4" s="37" t="s">
        <v>35</v>
      </c>
      <c r="D4" s="37" t="s">
        <v>36</v>
      </c>
      <c r="E4" s="37" t="s">
        <v>37</v>
      </c>
      <c r="F4" s="37" t="s">
        <v>38</v>
      </c>
      <c r="G4" s="37" t="s">
        <v>39</v>
      </c>
      <c r="H4" s="37" t="s">
        <v>40</v>
      </c>
      <c r="I4" s="37" t="s">
        <v>41</v>
      </c>
      <c r="J4" s="38" t="s">
        <v>42</v>
      </c>
      <c r="K4" s="38" t="s">
        <v>43</v>
      </c>
    </row>
    <row r="5" customFormat="false" ht="12.75" hidden="false" customHeight="false" outlineLevel="0" collapsed="false">
      <c r="A5" s="39" t="s">
        <v>44</v>
      </c>
      <c r="B5" s="40"/>
      <c r="C5" s="41" t="s">
        <v>45</v>
      </c>
      <c r="D5" s="41" t="s">
        <v>46</v>
      </c>
      <c r="E5" s="41" t="s">
        <v>47</v>
      </c>
      <c r="F5" s="41" t="s">
        <v>48</v>
      </c>
      <c r="G5" s="42" t="n">
        <v>1</v>
      </c>
      <c r="H5" s="42" t="n">
        <v>0</v>
      </c>
      <c r="I5" s="43" t="n">
        <v>44075</v>
      </c>
      <c r="J5" s="44"/>
      <c r="K5" s="44"/>
    </row>
    <row r="6" customFormat="false" ht="12.75" hidden="false" customHeight="false" outlineLevel="0" collapsed="false">
      <c r="A6" s="45" t="s">
        <v>49</v>
      </c>
      <c r="B6" s="46"/>
      <c r="C6" s="47" t="s">
        <v>50</v>
      </c>
      <c r="D6" s="48" t="s">
        <v>46</v>
      </c>
      <c r="E6" s="48" t="s">
        <v>51</v>
      </c>
      <c r="F6" s="48" t="s">
        <v>48</v>
      </c>
      <c r="G6" s="46" t="n">
        <v>1</v>
      </c>
      <c r="H6" s="46" t="n">
        <v>0</v>
      </c>
      <c r="I6" s="49" t="n">
        <v>44075</v>
      </c>
      <c r="J6" s="47"/>
      <c r="K6" s="47"/>
    </row>
    <row r="7" customFormat="false" ht="12.75" hidden="false" customHeight="false" outlineLevel="0" collapsed="false">
      <c r="A7" s="39" t="s">
        <v>52</v>
      </c>
      <c r="B7" s="42"/>
      <c r="C7" s="41" t="s">
        <v>53</v>
      </c>
      <c r="D7" s="41" t="s">
        <v>46</v>
      </c>
      <c r="E7" s="41" t="s">
        <v>54</v>
      </c>
      <c r="F7" s="41" t="s">
        <v>55</v>
      </c>
      <c r="G7" s="40" t="n">
        <v>1</v>
      </c>
      <c r="H7" s="40" t="n">
        <v>0</v>
      </c>
      <c r="I7" s="43" t="n">
        <v>44075</v>
      </c>
      <c r="J7" s="44"/>
      <c r="K7" s="44"/>
    </row>
    <row r="8" customFormat="false" ht="12.75" hidden="false" customHeight="false" outlineLevel="0" collapsed="false">
      <c r="A8" s="45" t="s">
        <v>56</v>
      </c>
      <c r="B8" s="50"/>
      <c r="C8" s="48" t="s">
        <v>57</v>
      </c>
      <c r="D8" s="48" t="s">
        <v>46</v>
      </c>
      <c r="E8" s="48" t="s">
        <v>58</v>
      </c>
      <c r="F8" s="48" t="s">
        <v>55</v>
      </c>
      <c r="G8" s="50" t="n">
        <v>1</v>
      </c>
      <c r="H8" s="50" t="n">
        <v>0</v>
      </c>
      <c r="I8" s="49" t="n">
        <v>44075</v>
      </c>
      <c r="J8" s="47"/>
      <c r="K8" s="47"/>
    </row>
    <row r="9" customFormat="false" ht="12.75" hidden="false" customHeight="false" outlineLevel="0" collapsed="false">
      <c r="A9" s="39" t="s">
        <v>59</v>
      </c>
      <c r="B9" s="42"/>
      <c r="C9" s="41" t="s">
        <v>60</v>
      </c>
      <c r="D9" s="41" t="s">
        <v>46</v>
      </c>
      <c r="E9" s="41" t="s">
        <v>61</v>
      </c>
      <c r="F9" s="41" t="s">
        <v>55</v>
      </c>
      <c r="G9" s="42" t="n">
        <v>1</v>
      </c>
      <c r="H9" s="42" t="n">
        <v>0</v>
      </c>
      <c r="I9" s="43" t="n">
        <v>44075</v>
      </c>
      <c r="J9" s="44"/>
      <c r="K9" s="44"/>
    </row>
    <row r="10" customFormat="false" ht="12.75" hidden="false" customHeight="false" outlineLevel="0" collapsed="false">
      <c r="A10" s="45" t="s">
        <v>62</v>
      </c>
      <c r="B10" s="50"/>
      <c r="C10" s="48" t="s">
        <v>63</v>
      </c>
      <c r="D10" s="48" t="s">
        <v>46</v>
      </c>
      <c r="E10" s="48" t="s">
        <v>64</v>
      </c>
      <c r="F10" s="48" t="s">
        <v>65</v>
      </c>
      <c r="G10" s="50" t="n">
        <v>1</v>
      </c>
      <c r="H10" s="46" t="n">
        <v>0</v>
      </c>
      <c r="I10" s="49" t="n">
        <v>44075</v>
      </c>
      <c r="J10" s="47"/>
      <c r="K10" s="47"/>
    </row>
    <row r="11" customFormat="false" ht="12.75" hidden="false" customHeight="false" outlineLevel="0" collapsed="false">
      <c r="A11" s="39" t="s">
        <v>66</v>
      </c>
      <c r="B11" s="42"/>
      <c r="C11" s="41" t="s">
        <v>67</v>
      </c>
      <c r="D11" s="41" t="s">
        <v>46</v>
      </c>
      <c r="E11" s="41" t="s">
        <v>68</v>
      </c>
      <c r="F11" s="41" t="s">
        <v>69</v>
      </c>
      <c r="G11" s="42" t="n">
        <v>1</v>
      </c>
      <c r="H11" s="40" t="n">
        <v>0</v>
      </c>
      <c r="I11" s="43" t="n">
        <v>44075</v>
      </c>
      <c r="J11" s="44"/>
      <c r="K11" s="44"/>
    </row>
    <row r="12" customFormat="false" ht="12.75" hidden="false" customHeight="false" outlineLevel="0" collapsed="false">
      <c r="A12" s="45" t="s">
        <v>70</v>
      </c>
      <c r="B12" s="50"/>
      <c r="C12" s="48" t="s">
        <v>71</v>
      </c>
      <c r="D12" s="48" t="s">
        <v>46</v>
      </c>
      <c r="E12" s="48" t="s">
        <v>72</v>
      </c>
      <c r="F12" s="48" t="s">
        <v>73</v>
      </c>
      <c r="G12" s="50" t="n">
        <v>1</v>
      </c>
      <c r="H12" s="46" t="n">
        <v>0</v>
      </c>
      <c r="I12" s="49" t="n">
        <v>44075</v>
      </c>
      <c r="J12" s="47"/>
      <c r="K12" s="47"/>
    </row>
    <row r="13" customFormat="false" ht="12.75" hidden="false" customHeight="false" outlineLevel="0" collapsed="false">
      <c r="A13" s="39" t="s">
        <v>74</v>
      </c>
      <c r="B13" s="42"/>
      <c r="C13" s="41" t="s">
        <v>75</v>
      </c>
      <c r="D13" s="41" t="s">
        <v>46</v>
      </c>
      <c r="E13" s="41" t="s">
        <v>76</v>
      </c>
      <c r="F13" s="41" t="s">
        <v>48</v>
      </c>
      <c r="G13" s="42" t="n">
        <v>1</v>
      </c>
      <c r="H13" s="40" t="n">
        <v>0</v>
      </c>
      <c r="I13" s="43" t="n">
        <v>44075</v>
      </c>
      <c r="J13" s="44"/>
      <c r="K13" s="44"/>
    </row>
    <row r="14" customFormat="false" ht="12.75" hidden="false" customHeight="false" outlineLevel="0" collapsed="false">
      <c r="A14" s="45" t="s">
        <v>77</v>
      </c>
      <c r="B14" s="46"/>
      <c r="C14" s="47" t="s">
        <v>78</v>
      </c>
      <c r="D14" s="48" t="s">
        <v>46</v>
      </c>
      <c r="E14" s="48" t="s">
        <v>79</v>
      </c>
      <c r="F14" s="48" t="s">
        <v>48</v>
      </c>
      <c r="G14" s="50" t="n">
        <v>1</v>
      </c>
      <c r="H14" s="46" t="n">
        <v>0</v>
      </c>
      <c r="I14" s="49" t="n">
        <v>44075</v>
      </c>
      <c r="J14" s="47"/>
      <c r="K14" s="47"/>
    </row>
    <row r="15" customFormat="false" ht="12.75" hidden="false" customHeight="false" outlineLevel="0" collapsed="false">
      <c r="A15" s="39" t="s">
        <v>80</v>
      </c>
      <c r="B15" s="40"/>
      <c r="C15" s="44" t="s">
        <v>81</v>
      </c>
      <c r="D15" s="41" t="s">
        <v>46</v>
      </c>
      <c r="E15" s="41" t="s">
        <v>82</v>
      </c>
      <c r="F15" s="41" t="s">
        <v>83</v>
      </c>
      <c r="G15" s="42" t="n">
        <v>1</v>
      </c>
      <c r="H15" s="40" t="n">
        <v>0</v>
      </c>
      <c r="I15" s="43" t="n">
        <v>44075</v>
      </c>
      <c r="J15" s="44"/>
      <c r="K15" s="44"/>
    </row>
    <row r="16" customFormat="false" ht="12.75" hidden="false" customHeight="false" outlineLevel="0" collapsed="false">
      <c r="A16" s="45" t="s">
        <v>84</v>
      </c>
      <c r="B16" s="46"/>
      <c r="C16" s="47" t="s">
        <v>85</v>
      </c>
      <c r="D16" s="48" t="s">
        <v>46</v>
      </c>
      <c r="E16" s="48" t="s">
        <v>86</v>
      </c>
      <c r="F16" s="48" t="s">
        <v>48</v>
      </c>
      <c r="G16" s="50" t="n">
        <v>1</v>
      </c>
      <c r="H16" s="46" t="n">
        <v>0</v>
      </c>
      <c r="I16" s="49" t="n">
        <v>44075</v>
      </c>
      <c r="J16" s="47"/>
      <c r="K16" s="47"/>
    </row>
    <row r="17" customFormat="false" ht="12.75" hidden="false" customHeight="false" outlineLevel="0" collapsed="false">
      <c r="A17" s="39" t="s">
        <v>87</v>
      </c>
      <c r="B17" s="51"/>
      <c r="C17" s="44" t="s">
        <v>88</v>
      </c>
      <c r="D17" s="41" t="s">
        <v>46</v>
      </c>
      <c r="E17" s="41" t="s">
        <v>89</v>
      </c>
      <c r="F17" s="51" t="s">
        <v>55</v>
      </c>
      <c r="G17" s="42" t="n">
        <v>1</v>
      </c>
      <c r="H17" s="40" t="n">
        <v>0</v>
      </c>
      <c r="I17" s="43" t="n">
        <v>44075</v>
      </c>
      <c r="J17" s="44"/>
      <c r="K17" s="44"/>
    </row>
    <row r="18" customFormat="false" ht="12.75" hidden="false" customHeight="false" outlineLevel="0" collapsed="false">
      <c r="A18" s="45" t="s">
        <v>90</v>
      </c>
      <c r="B18" s="52"/>
      <c r="C18" s="47" t="s">
        <v>91</v>
      </c>
      <c r="D18" s="48" t="s">
        <v>46</v>
      </c>
      <c r="E18" s="48" t="s">
        <v>92</v>
      </c>
      <c r="F18" s="52" t="s">
        <v>55</v>
      </c>
      <c r="G18" s="50" t="n">
        <v>1</v>
      </c>
      <c r="H18" s="46" t="n">
        <v>0</v>
      </c>
      <c r="I18" s="49" t="n">
        <v>44075</v>
      </c>
      <c r="J18" s="47"/>
      <c r="K18" s="47"/>
    </row>
    <row r="19" customFormat="false" ht="12.75" hidden="false" customHeight="false" outlineLevel="0" collapsed="false">
      <c r="A19" s="39" t="s">
        <v>93</v>
      </c>
      <c r="B19" s="51"/>
      <c r="C19" s="44" t="s">
        <v>94</v>
      </c>
      <c r="D19" s="41" t="s">
        <v>46</v>
      </c>
      <c r="E19" s="41" t="s">
        <v>95</v>
      </c>
      <c r="F19" s="51" t="s">
        <v>69</v>
      </c>
      <c r="G19" s="42" t="n">
        <v>1</v>
      </c>
      <c r="H19" s="40" t="n">
        <v>0</v>
      </c>
      <c r="I19" s="43" t="n">
        <v>44075</v>
      </c>
      <c r="J19" s="44"/>
      <c r="K19" s="44"/>
    </row>
    <row r="20" customFormat="false" ht="12.75" hidden="false" customHeight="false" outlineLevel="0" collapsed="false">
      <c r="A20" s="45" t="s">
        <v>96</v>
      </c>
      <c r="B20" s="52"/>
      <c r="C20" s="47" t="s">
        <v>97</v>
      </c>
      <c r="D20" s="48" t="s">
        <v>46</v>
      </c>
      <c r="E20" s="48" t="s">
        <v>98</v>
      </c>
      <c r="F20" s="52" t="s">
        <v>65</v>
      </c>
      <c r="G20" s="50" t="n">
        <v>1</v>
      </c>
      <c r="H20" s="46" t="n">
        <v>0</v>
      </c>
      <c r="I20" s="49" t="n">
        <v>44075</v>
      </c>
      <c r="J20" s="47"/>
      <c r="K20" s="47"/>
    </row>
    <row r="21" customFormat="false" ht="12.75" hidden="false" customHeight="false" outlineLevel="0" collapsed="false">
      <c r="A21" s="39" t="s">
        <v>99</v>
      </c>
      <c r="B21" s="51"/>
      <c r="C21" s="44" t="s">
        <v>100</v>
      </c>
      <c r="D21" s="41" t="s">
        <v>46</v>
      </c>
      <c r="E21" s="41" t="s">
        <v>101</v>
      </c>
      <c r="F21" s="51" t="s">
        <v>102</v>
      </c>
      <c r="G21" s="42" t="n">
        <v>1</v>
      </c>
      <c r="H21" s="40" t="n">
        <v>0</v>
      </c>
      <c r="I21" s="43" t="n">
        <v>44075</v>
      </c>
      <c r="J21" s="44"/>
      <c r="K21" s="44"/>
    </row>
    <row r="22" customFormat="false" ht="12.75" hidden="false" customHeight="false" outlineLevel="0" collapsed="false">
      <c r="A22" s="45" t="s">
        <v>103</v>
      </c>
      <c r="B22" s="52"/>
      <c r="C22" s="47" t="s">
        <v>104</v>
      </c>
      <c r="D22" s="48" t="s">
        <v>46</v>
      </c>
      <c r="E22" s="48" t="s">
        <v>105</v>
      </c>
      <c r="F22" s="52" t="s">
        <v>69</v>
      </c>
      <c r="G22" s="50" t="n">
        <v>1</v>
      </c>
      <c r="H22" s="46" t="n">
        <v>0</v>
      </c>
      <c r="I22" s="49" t="n">
        <v>44075</v>
      </c>
      <c r="J22" s="47"/>
      <c r="K22" s="47"/>
    </row>
    <row r="23" customFormat="false" ht="12.75" hidden="false" customHeight="false" outlineLevel="0" collapsed="false">
      <c r="A23" s="39" t="s">
        <v>106</v>
      </c>
      <c r="B23" s="53" t="n">
        <v>20210369268</v>
      </c>
      <c r="C23" s="44" t="s">
        <v>107</v>
      </c>
      <c r="D23" s="41" t="s">
        <v>46</v>
      </c>
      <c r="E23" s="41" t="s">
        <v>108</v>
      </c>
      <c r="F23" s="51" t="s">
        <v>48</v>
      </c>
      <c r="G23" s="42" t="n">
        <v>1</v>
      </c>
      <c r="H23" s="40" t="n">
        <v>0</v>
      </c>
      <c r="I23" s="43" t="n">
        <v>44075</v>
      </c>
      <c r="J23" s="44"/>
      <c r="K23" s="44"/>
    </row>
    <row r="24" s="55" customFormat="true" ht="12.75" hidden="false" customHeight="false" outlineLevel="0" collapsed="false">
      <c r="A24" s="45" t="s">
        <v>109</v>
      </c>
      <c r="B24" s="52"/>
      <c r="C24" s="47" t="s">
        <v>110</v>
      </c>
      <c r="D24" s="48" t="s">
        <v>46</v>
      </c>
      <c r="E24" s="48" t="s">
        <v>111</v>
      </c>
      <c r="F24" s="52" t="s">
        <v>55</v>
      </c>
      <c r="G24" s="50" t="n">
        <v>1</v>
      </c>
      <c r="H24" s="46" t="n">
        <v>0</v>
      </c>
      <c r="I24" s="54" t="n">
        <v>44075</v>
      </c>
      <c r="J24" s="47"/>
      <c r="K24" s="47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customFormat="false" ht="12.75" hidden="false" customHeight="false" outlineLevel="0" collapsed="false">
      <c r="A25" s="39" t="s">
        <v>112</v>
      </c>
      <c r="B25" s="39" t="s">
        <v>113</v>
      </c>
      <c r="C25" s="41" t="s">
        <v>114</v>
      </c>
      <c r="D25" s="41" t="s">
        <v>46</v>
      </c>
      <c r="E25" s="41" t="s">
        <v>115</v>
      </c>
      <c r="F25" s="51" t="s">
        <v>116</v>
      </c>
      <c r="G25" s="42" t="n">
        <v>1</v>
      </c>
      <c r="H25" s="40" t="n">
        <v>0</v>
      </c>
      <c r="I25" s="43" t="n">
        <v>44136</v>
      </c>
      <c r="J25" s="44"/>
      <c r="K25" s="44"/>
    </row>
    <row r="26" customFormat="false" ht="12.75" hidden="false" customHeight="false" outlineLevel="0" collapsed="false">
      <c r="A26" s="45" t="s">
        <v>117</v>
      </c>
      <c r="B26" s="52"/>
      <c r="C26" s="47" t="s">
        <v>118</v>
      </c>
      <c r="D26" s="48" t="s">
        <v>46</v>
      </c>
      <c r="E26" s="48" t="s">
        <v>119</v>
      </c>
      <c r="F26" s="52" t="s">
        <v>48</v>
      </c>
      <c r="G26" s="50" t="n">
        <v>1</v>
      </c>
      <c r="H26" s="46" t="n">
        <v>0</v>
      </c>
      <c r="I26" s="49" t="n">
        <v>44136</v>
      </c>
      <c r="J26" s="47"/>
      <c r="K26" s="47"/>
    </row>
    <row r="27" customFormat="false" ht="12.75" hidden="false" customHeight="false" outlineLevel="0" collapsed="false">
      <c r="A27" s="39" t="s">
        <v>120</v>
      </c>
      <c r="B27" s="39" t="s">
        <v>121</v>
      </c>
      <c r="C27" s="41" t="s">
        <v>122</v>
      </c>
      <c r="D27" s="41" t="s">
        <v>46</v>
      </c>
      <c r="E27" s="41" t="s">
        <v>123</v>
      </c>
      <c r="F27" s="51" t="s">
        <v>69</v>
      </c>
      <c r="G27" s="42" t="n">
        <v>1</v>
      </c>
      <c r="H27" s="40" t="n">
        <v>0</v>
      </c>
      <c r="I27" s="43" t="n">
        <v>44136</v>
      </c>
      <c r="J27" s="44"/>
      <c r="K27" s="44"/>
    </row>
    <row r="28" customFormat="false" ht="12.75" hidden="false" customHeight="false" outlineLevel="0" collapsed="false">
      <c r="A28" s="45" t="s">
        <v>124</v>
      </c>
      <c r="B28" s="52"/>
      <c r="C28" s="47" t="s">
        <v>125</v>
      </c>
      <c r="D28" s="48" t="s">
        <v>46</v>
      </c>
      <c r="E28" s="48" t="s">
        <v>126</v>
      </c>
      <c r="F28" s="52" t="s">
        <v>69</v>
      </c>
      <c r="G28" s="50" t="n">
        <v>1</v>
      </c>
      <c r="H28" s="46" t="n">
        <v>0</v>
      </c>
      <c r="I28" s="49" t="n">
        <v>44136</v>
      </c>
      <c r="J28" s="47"/>
      <c r="K28" s="47"/>
    </row>
    <row r="29" customFormat="false" ht="12.75" hidden="false" customHeight="false" outlineLevel="0" collapsed="false">
      <c r="A29" s="39" t="s">
        <v>127</v>
      </c>
      <c r="B29" s="51"/>
      <c r="C29" s="44" t="s">
        <v>128</v>
      </c>
      <c r="D29" s="41" t="s">
        <v>46</v>
      </c>
      <c r="E29" s="41" t="s">
        <v>129</v>
      </c>
      <c r="F29" s="51" t="s">
        <v>69</v>
      </c>
      <c r="G29" s="42" t="n">
        <v>1</v>
      </c>
      <c r="H29" s="40" t="n">
        <v>0</v>
      </c>
      <c r="I29" s="43" t="n">
        <v>44136</v>
      </c>
      <c r="J29" s="44"/>
      <c r="K29" s="44"/>
    </row>
    <row r="30" customFormat="false" ht="12.75" hidden="false" customHeight="false" outlineLevel="0" collapsed="false">
      <c r="A30" s="45" t="s">
        <v>130</v>
      </c>
      <c r="B30" s="52"/>
      <c r="C30" s="47" t="s">
        <v>131</v>
      </c>
      <c r="D30" s="48" t="s">
        <v>46</v>
      </c>
      <c r="E30" s="48" t="s">
        <v>132</v>
      </c>
      <c r="F30" s="52" t="s">
        <v>48</v>
      </c>
      <c r="G30" s="50" t="n">
        <v>1</v>
      </c>
      <c r="H30" s="46" t="n">
        <v>0</v>
      </c>
      <c r="I30" s="49" t="n">
        <v>44136</v>
      </c>
      <c r="J30" s="47"/>
      <c r="K30" s="47"/>
    </row>
    <row r="31" customFormat="false" ht="12.75" hidden="false" customHeight="false" outlineLevel="0" collapsed="false">
      <c r="A31" s="39" t="s">
        <v>133</v>
      </c>
      <c r="B31" s="51"/>
      <c r="C31" s="44" t="s">
        <v>134</v>
      </c>
      <c r="D31" s="41" t="s">
        <v>46</v>
      </c>
      <c r="E31" s="41" t="s">
        <v>135</v>
      </c>
      <c r="F31" s="51" t="s">
        <v>69</v>
      </c>
      <c r="G31" s="42" t="n">
        <v>1</v>
      </c>
      <c r="H31" s="40" t="n">
        <v>0</v>
      </c>
      <c r="I31" s="43" t="n">
        <v>44136</v>
      </c>
      <c r="J31" s="44"/>
      <c r="K31" s="44"/>
    </row>
    <row r="32" customFormat="false" ht="12.75" hidden="false" customHeight="false" outlineLevel="0" collapsed="false">
      <c r="A32" s="45" t="s">
        <v>136</v>
      </c>
      <c r="B32" s="52"/>
      <c r="C32" s="47" t="s">
        <v>137</v>
      </c>
      <c r="D32" s="48" t="s">
        <v>46</v>
      </c>
      <c r="E32" s="48" t="s">
        <v>138</v>
      </c>
      <c r="F32" s="52" t="s">
        <v>139</v>
      </c>
      <c r="G32" s="50" t="n">
        <v>1</v>
      </c>
      <c r="H32" s="46" t="n">
        <v>0</v>
      </c>
      <c r="I32" s="49" t="n">
        <v>44136</v>
      </c>
      <c r="J32" s="47"/>
      <c r="K32" s="47"/>
    </row>
    <row r="33" customFormat="false" ht="12.75" hidden="false" customHeight="false" outlineLevel="0" collapsed="false">
      <c r="A33" s="39" t="s">
        <v>140</v>
      </c>
      <c r="B33" s="51"/>
      <c r="C33" s="44" t="s">
        <v>141</v>
      </c>
      <c r="D33" s="41" t="s">
        <v>46</v>
      </c>
      <c r="E33" s="41" t="s">
        <v>142</v>
      </c>
      <c r="F33" s="51" t="s">
        <v>69</v>
      </c>
      <c r="G33" s="42" t="n">
        <v>1</v>
      </c>
      <c r="H33" s="40" t="n">
        <v>0</v>
      </c>
      <c r="I33" s="43" t="n">
        <v>44136</v>
      </c>
      <c r="J33" s="44"/>
      <c r="K33" s="44"/>
    </row>
    <row r="34" customFormat="false" ht="12.75" hidden="false" customHeight="false" outlineLevel="0" collapsed="false">
      <c r="A34" s="45" t="s">
        <v>143</v>
      </c>
      <c r="B34" s="52"/>
      <c r="C34" s="47" t="s">
        <v>144</v>
      </c>
      <c r="D34" s="48" t="s">
        <v>46</v>
      </c>
      <c r="E34" s="48" t="s">
        <v>145</v>
      </c>
      <c r="F34" s="52" t="s">
        <v>48</v>
      </c>
      <c r="G34" s="50" t="n">
        <v>1</v>
      </c>
      <c r="H34" s="46" t="n">
        <v>0</v>
      </c>
      <c r="I34" s="49" t="n">
        <v>44136</v>
      </c>
      <c r="J34" s="47"/>
      <c r="K34" s="47"/>
    </row>
    <row r="35" customFormat="false" ht="12.75" hidden="false" customHeight="false" outlineLevel="0" collapsed="false">
      <c r="A35" s="39" t="s">
        <v>146</v>
      </c>
      <c r="B35" s="51"/>
      <c r="C35" s="44" t="s">
        <v>147</v>
      </c>
      <c r="D35" s="41" t="s">
        <v>46</v>
      </c>
      <c r="E35" s="41" t="s">
        <v>148</v>
      </c>
      <c r="F35" s="51" t="s">
        <v>102</v>
      </c>
      <c r="G35" s="42" t="n">
        <v>1</v>
      </c>
      <c r="H35" s="40" t="n">
        <v>0</v>
      </c>
      <c r="I35" s="43" t="n">
        <v>44136</v>
      </c>
      <c r="J35" s="44"/>
      <c r="K35" s="44"/>
    </row>
    <row r="36" customFormat="false" ht="12.75" hidden="false" customHeight="false" outlineLevel="0" collapsed="false">
      <c r="A36" s="45" t="s">
        <v>149</v>
      </c>
      <c r="B36" s="52"/>
      <c r="C36" s="47" t="s">
        <v>150</v>
      </c>
      <c r="D36" s="48" t="s">
        <v>46</v>
      </c>
      <c r="E36" s="48" t="s">
        <v>151</v>
      </c>
      <c r="F36" s="52" t="s">
        <v>152</v>
      </c>
      <c r="G36" s="50" t="n">
        <v>1</v>
      </c>
      <c r="H36" s="46" t="n">
        <v>0</v>
      </c>
      <c r="I36" s="49" t="n">
        <v>44136</v>
      </c>
      <c r="J36" s="47"/>
      <c r="K36" s="47"/>
    </row>
    <row r="37" customFormat="false" ht="12.75" hidden="false" customHeight="false" outlineLevel="0" collapsed="false">
      <c r="A37" s="39" t="s">
        <v>153</v>
      </c>
      <c r="B37" s="51"/>
      <c r="C37" s="41" t="s">
        <v>154</v>
      </c>
      <c r="D37" s="41" t="s">
        <v>46</v>
      </c>
      <c r="E37" s="41" t="s">
        <v>155</v>
      </c>
      <c r="F37" s="51" t="s">
        <v>48</v>
      </c>
      <c r="G37" s="42" t="n">
        <v>1</v>
      </c>
      <c r="H37" s="40" t="n">
        <v>0</v>
      </c>
      <c r="I37" s="43" t="n">
        <v>44136</v>
      </c>
      <c r="J37" s="44"/>
      <c r="K37" s="44"/>
    </row>
    <row r="38" customFormat="false" ht="12.75" hidden="false" customHeight="false" outlineLevel="0" collapsed="false">
      <c r="A38" s="45" t="s">
        <v>156</v>
      </c>
      <c r="B38" s="52"/>
      <c r="C38" s="47" t="s">
        <v>157</v>
      </c>
      <c r="D38" s="48" t="s">
        <v>46</v>
      </c>
      <c r="E38" s="48" t="s">
        <v>158</v>
      </c>
      <c r="F38" s="52" t="s">
        <v>48</v>
      </c>
      <c r="G38" s="50" t="n">
        <v>1</v>
      </c>
      <c r="H38" s="46" t="n">
        <v>0</v>
      </c>
      <c r="I38" s="49" t="n">
        <v>44136</v>
      </c>
      <c r="J38" s="47"/>
      <c r="K38" s="47"/>
    </row>
    <row r="39" customFormat="false" ht="12.75" hidden="false" customHeight="false" outlineLevel="0" collapsed="false">
      <c r="A39" s="39" t="s">
        <v>159</v>
      </c>
      <c r="B39" s="51"/>
      <c r="C39" s="44" t="s">
        <v>160</v>
      </c>
      <c r="D39" s="41"/>
      <c r="E39" s="41"/>
      <c r="F39" s="51"/>
      <c r="G39" s="42" t="n">
        <v>1</v>
      </c>
      <c r="H39" s="40" t="n">
        <v>1</v>
      </c>
      <c r="I39" s="43" t="n">
        <v>44136</v>
      </c>
      <c r="J39" s="44"/>
      <c r="K39" s="44"/>
    </row>
    <row r="40" s="55" customFormat="true" ht="12.75" hidden="false" customHeight="false" outlineLevel="0" collapsed="false">
      <c r="A40" s="45" t="s">
        <v>161</v>
      </c>
      <c r="B40" s="52"/>
      <c r="C40" s="47" t="s">
        <v>162</v>
      </c>
      <c r="D40" s="48" t="s">
        <v>46</v>
      </c>
      <c r="E40" s="48" t="s">
        <v>163</v>
      </c>
      <c r="F40" s="52" t="s">
        <v>164</v>
      </c>
      <c r="G40" s="50" t="n">
        <v>1</v>
      </c>
      <c r="H40" s="46" t="n">
        <v>0</v>
      </c>
      <c r="I40" s="54" t="n">
        <v>44166</v>
      </c>
      <c r="J40" s="47"/>
      <c r="K40" s="4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</row>
    <row r="41" customFormat="false" ht="12.75" hidden="false" customHeight="false" outlineLevel="0" collapsed="false">
      <c r="A41" s="39" t="s">
        <v>165</v>
      </c>
      <c r="B41" s="51" t="s">
        <v>166</v>
      </c>
      <c r="C41" s="44" t="s">
        <v>167</v>
      </c>
      <c r="D41" s="41" t="s">
        <v>46</v>
      </c>
      <c r="E41" s="41" t="s">
        <v>168</v>
      </c>
      <c r="F41" s="51" t="s">
        <v>169</v>
      </c>
      <c r="G41" s="42" t="n">
        <v>1</v>
      </c>
      <c r="H41" s="40" t="n">
        <v>0</v>
      </c>
      <c r="I41" s="43" t="n">
        <v>44136</v>
      </c>
      <c r="J41" s="44"/>
      <c r="K41" s="44"/>
    </row>
    <row r="42" customFormat="false" ht="12.75" hidden="false" customHeight="false" outlineLevel="0" collapsed="false">
      <c r="A42" s="45" t="s">
        <v>170</v>
      </c>
      <c r="B42" s="45" t="s">
        <v>171</v>
      </c>
      <c r="C42" s="48" t="s">
        <v>172</v>
      </c>
      <c r="D42" s="48" t="s">
        <v>46</v>
      </c>
      <c r="E42" s="48" t="s">
        <v>173</v>
      </c>
      <c r="F42" s="52" t="s">
        <v>169</v>
      </c>
      <c r="G42" s="50" t="n">
        <v>1</v>
      </c>
      <c r="H42" s="46" t="n">
        <v>0</v>
      </c>
      <c r="I42" s="49" t="n">
        <v>44136</v>
      </c>
      <c r="J42" s="47"/>
      <c r="K42" s="47"/>
    </row>
    <row r="43" customFormat="false" ht="12.75" hidden="false" customHeight="false" outlineLevel="0" collapsed="false">
      <c r="A43" s="39" t="s">
        <v>174</v>
      </c>
      <c r="B43" s="39" t="s">
        <v>175</v>
      </c>
      <c r="C43" s="41" t="s">
        <v>176</v>
      </c>
      <c r="D43" s="41" t="s">
        <v>46</v>
      </c>
      <c r="E43" s="41" t="s">
        <v>177</v>
      </c>
      <c r="F43" s="51" t="s">
        <v>178</v>
      </c>
      <c r="G43" s="42" t="n">
        <v>1</v>
      </c>
      <c r="H43" s="40" t="n">
        <v>0</v>
      </c>
      <c r="I43" s="43" t="n">
        <v>44136</v>
      </c>
      <c r="J43" s="44"/>
      <c r="K43" s="44"/>
    </row>
    <row r="44" customFormat="false" ht="12.75" hidden="false" customHeight="false" outlineLevel="0" collapsed="false">
      <c r="A44" s="45" t="s">
        <v>179</v>
      </c>
      <c r="B44" s="52" t="s">
        <v>180</v>
      </c>
      <c r="C44" s="47" t="s">
        <v>181</v>
      </c>
      <c r="D44" s="48" t="s">
        <v>46</v>
      </c>
      <c r="E44" s="48" t="s">
        <v>163</v>
      </c>
      <c r="F44" s="52" t="s">
        <v>178</v>
      </c>
      <c r="G44" s="50" t="n">
        <v>1</v>
      </c>
      <c r="H44" s="46" t="n">
        <v>0</v>
      </c>
      <c r="I44" s="49" t="n">
        <v>44166</v>
      </c>
      <c r="J44" s="47"/>
      <c r="K44" s="47"/>
    </row>
    <row r="45" customFormat="false" ht="12.75" hidden="false" customHeight="false" outlineLevel="0" collapsed="false">
      <c r="A45" s="39" t="s">
        <v>182</v>
      </c>
      <c r="B45" s="39" t="s">
        <v>183</v>
      </c>
      <c r="C45" s="41" t="s">
        <v>184</v>
      </c>
      <c r="D45" s="41" t="s">
        <v>46</v>
      </c>
      <c r="E45" s="41" t="s">
        <v>185</v>
      </c>
      <c r="F45" s="51" t="s">
        <v>178</v>
      </c>
      <c r="G45" s="42" t="n">
        <v>1</v>
      </c>
      <c r="H45" s="40" t="n">
        <v>0</v>
      </c>
      <c r="I45" s="43" t="n">
        <v>44197</v>
      </c>
      <c r="J45" s="44"/>
      <c r="K45" s="44"/>
    </row>
    <row r="46" customFormat="false" ht="12.75" hidden="false" customHeight="false" outlineLevel="0" collapsed="false">
      <c r="A46" s="45" t="s">
        <v>186</v>
      </c>
      <c r="B46" s="52" t="s">
        <v>187</v>
      </c>
      <c r="C46" s="48" t="s">
        <v>188</v>
      </c>
      <c r="D46" s="48" t="s">
        <v>46</v>
      </c>
      <c r="E46" s="52" t="s">
        <v>189</v>
      </c>
      <c r="F46" s="52" t="s">
        <v>190</v>
      </c>
      <c r="G46" s="52" t="n">
        <v>1</v>
      </c>
      <c r="H46" s="52" t="n">
        <v>0</v>
      </c>
      <c r="I46" s="56" t="n">
        <v>44287</v>
      </c>
      <c r="J46" s="47"/>
      <c r="K46" s="47"/>
    </row>
    <row r="47" s="55" customFormat="true" ht="12.75" hidden="false" customHeight="false" outlineLevel="0" collapsed="false">
      <c r="A47" s="39" t="s">
        <v>191</v>
      </c>
      <c r="B47" s="39" t="s">
        <v>192</v>
      </c>
      <c r="C47" s="51" t="s">
        <v>193</v>
      </c>
      <c r="D47" s="41" t="s">
        <v>46</v>
      </c>
      <c r="E47" s="51"/>
      <c r="F47" s="51"/>
      <c r="G47" s="51"/>
      <c r="H47" s="51"/>
      <c r="I47" s="51"/>
      <c r="J47" s="44"/>
      <c r="K47" s="44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</row>
    <row r="48" customFormat="false" ht="12.75" hidden="false" customHeight="false" outlineLevel="0" collapsed="false">
      <c r="A48" s="45" t="s">
        <v>194</v>
      </c>
      <c r="B48" s="45" t="s">
        <v>195</v>
      </c>
      <c r="C48" s="45" t="s">
        <v>196</v>
      </c>
      <c r="D48" s="48" t="s">
        <v>46</v>
      </c>
      <c r="E48" s="52" t="s">
        <v>197</v>
      </c>
      <c r="F48" s="52" t="s">
        <v>190</v>
      </c>
      <c r="G48" s="52" t="n">
        <v>0</v>
      </c>
      <c r="H48" s="52" t="n">
        <v>0</v>
      </c>
      <c r="I48" s="56" t="n">
        <v>44287</v>
      </c>
      <c r="J48" s="47"/>
      <c r="K48" s="47"/>
    </row>
    <row r="49" customFormat="false" ht="12.75" hidden="false" customHeight="false" outlineLevel="0" collapsed="false">
      <c r="A49" s="39" t="s">
        <v>198</v>
      </c>
      <c r="B49" s="39" t="s">
        <v>199</v>
      </c>
      <c r="C49" s="51" t="s">
        <v>200</v>
      </c>
      <c r="D49" s="41" t="s">
        <v>46</v>
      </c>
      <c r="E49" s="41" t="s">
        <v>201</v>
      </c>
      <c r="F49" s="51" t="s">
        <v>190</v>
      </c>
      <c r="G49" s="51" t="n">
        <v>0</v>
      </c>
      <c r="H49" s="51" t="n">
        <v>0</v>
      </c>
      <c r="I49" s="57" t="n">
        <v>44317</v>
      </c>
      <c r="J49" s="44"/>
      <c r="K49" s="44"/>
    </row>
    <row r="50" customFormat="false" ht="12.75" hidden="false" customHeight="false" outlineLevel="0" collapsed="false">
      <c r="A50" s="45" t="s">
        <v>202</v>
      </c>
      <c r="B50" s="58" t="s">
        <v>203</v>
      </c>
      <c r="C50" s="52" t="s">
        <v>204</v>
      </c>
      <c r="D50" s="48" t="s">
        <v>46</v>
      </c>
      <c r="E50" s="52" t="s">
        <v>205</v>
      </c>
      <c r="F50" s="52" t="s">
        <v>178</v>
      </c>
      <c r="G50" s="52" t="n">
        <v>0</v>
      </c>
      <c r="H50" s="52" t="n">
        <v>0</v>
      </c>
      <c r="I50" s="56" t="n">
        <v>44348</v>
      </c>
      <c r="J50" s="47"/>
      <c r="K50" s="47"/>
    </row>
    <row r="51" customFormat="false" ht="12.75" hidden="false" customHeight="false" outlineLevel="0" collapsed="false">
      <c r="A51" s="39" t="s">
        <v>206</v>
      </c>
      <c r="B51" s="53" t="s">
        <v>207</v>
      </c>
      <c r="C51" s="27" t="s">
        <v>208</v>
      </c>
      <c r="D51" s="41" t="s">
        <v>46</v>
      </c>
      <c r="E51" s="51" t="s">
        <v>209</v>
      </c>
      <c r="F51" s="51" t="s">
        <v>178</v>
      </c>
      <c r="G51" s="51" t="n">
        <v>0</v>
      </c>
      <c r="H51" s="51" t="n">
        <v>0</v>
      </c>
      <c r="I51" s="57" t="n">
        <v>44378</v>
      </c>
      <c r="J51" s="44"/>
      <c r="K51" s="44"/>
    </row>
    <row r="52" customFormat="false" ht="12.75" hidden="false" customHeight="false" outlineLevel="0" collapsed="false">
      <c r="A52" s="45" t="s">
        <v>210</v>
      </c>
      <c r="B52" s="59" t="s">
        <v>211</v>
      </c>
      <c r="C52" s="52" t="s">
        <v>212</v>
      </c>
      <c r="D52" s="48" t="s">
        <v>46</v>
      </c>
      <c r="E52" s="52" t="s">
        <v>212</v>
      </c>
      <c r="F52" s="52" t="s">
        <v>178</v>
      </c>
      <c r="G52" s="52" t="n">
        <v>0</v>
      </c>
      <c r="H52" s="52" t="n">
        <v>0</v>
      </c>
      <c r="I52" s="56" t="n">
        <v>44378</v>
      </c>
      <c r="J52" s="47"/>
      <c r="K52" s="47"/>
    </row>
    <row r="53" customFormat="false" ht="12.75" hidden="false" customHeight="false" outlineLevel="0" collapsed="false">
      <c r="A53" s="39" t="s">
        <v>213</v>
      </c>
      <c r="B53" s="60" t="s">
        <v>214</v>
      </c>
      <c r="C53" s="39" t="s">
        <v>215</v>
      </c>
      <c r="D53" s="41" t="s">
        <v>46</v>
      </c>
      <c r="E53" s="39" t="s">
        <v>216</v>
      </c>
      <c r="F53" s="51" t="s">
        <v>178</v>
      </c>
      <c r="G53" s="51" t="n">
        <v>0</v>
      </c>
      <c r="H53" s="51" t="n">
        <v>0</v>
      </c>
      <c r="I53" s="57" t="n">
        <v>44378</v>
      </c>
      <c r="J53" s="44"/>
      <c r="K53" s="44"/>
    </row>
    <row r="54" customFormat="false" ht="12.75" hidden="false" customHeight="false" outlineLevel="0" collapsed="false">
      <c r="A54" s="45" t="s">
        <v>217</v>
      </c>
      <c r="B54" s="52" t="n">
        <v>20210599743</v>
      </c>
      <c r="C54" s="52" t="s">
        <v>218</v>
      </c>
      <c r="D54" s="48" t="s">
        <v>46</v>
      </c>
      <c r="E54" s="45" t="s">
        <v>219</v>
      </c>
      <c r="F54" s="52" t="s">
        <v>178</v>
      </c>
      <c r="G54" s="52" t="n">
        <v>0</v>
      </c>
      <c r="H54" s="52" t="n">
        <v>0</v>
      </c>
      <c r="I54" s="56" t="n">
        <v>44440</v>
      </c>
      <c r="J54" s="47"/>
      <c r="K54" s="47"/>
    </row>
    <row r="55" customFormat="false" ht="12.75" hidden="false" customHeight="false" outlineLevel="0" collapsed="false">
      <c r="A55" s="39" t="s">
        <v>220</v>
      </c>
      <c r="B55" s="51" t="n">
        <v>20210599755</v>
      </c>
      <c r="C55" s="51" t="s">
        <v>221</v>
      </c>
      <c r="D55" s="41" t="s">
        <v>46</v>
      </c>
      <c r="E55" s="39" t="s">
        <v>222</v>
      </c>
      <c r="F55" s="51" t="s">
        <v>178</v>
      </c>
      <c r="G55" s="51" t="n">
        <v>0</v>
      </c>
      <c r="H55" s="51" t="n">
        <v>0</v>
      </c>
      <c r="I55" s="57" t="n">
        <v>44456</v>
      </c>
      <c r="J55" s="44"/>
      <c r="K55" s="44"/>
    </row>
    <row r="56" customFormat="false" ht="12.75" hidden="false" customHeight="false" outlineLevel="0" collapsed="false">
      <c r="A56" s="45" t="s">
        <v>223</v>
      </c>
      <c r="B56" s="52" t="n">
        <v>20210602988</v>
      </c>
      <c r="C56" s="52" t="s">
        <v>224</v>
      </c>
      <c r="D56" s="48" t="s">
        <v>46</v>
      </c>
      <c r="E56" s="52"/>
      <c r="F56" s="52"/>
      <c r="G56" s="52"/>
      <c r="H56" s="52"/>
      <c r="I56" s="52"/>
      <c r="J56" s="47"/>
      <c r="K56" s="47"/>
    </row>
    <row r="57" customFormat="false" ht="12.75" hidden="false" customHeight="false" outlineLevel="0" collapsed="false">
      <c r="A57" s="39" t="s">
        <v>225</v>
      </c>
      <c r="B57" s="51" t="s">
        <v>226</v>
      </c>
      <c r="C57" s="51" t="s">
        <v>227</v>
      </c>
      <c r="D57" s="41" t="s">
        <v>46</v>
      </c>
      <c r="E57" s="51" t="s">
        <v>228</v>
      </c>
      <c r="F57" s="51" t="s">
        <v>229</v>
      </c>
      <c r="G57" s="42" t="n">
        <v>1</v>
      </c>
      <c r="H57" s="40" t="n">
        <v>0</v>
      </c>
      <c r="I57" s="57" t="n">
        <v>44533</v>
      </c>
      <c r="J57" s="44"/>
      <c r="K57" s="44"/>
    </row>
    <row r="58" customFormat="false" ht="12.75" hidden="false" customHeight="false" outlineLevel="0" collapsed="false">
      <c r="A58" s="45" t="s">
        <v>230</v>
      </c>
      <c r="B58" s="52"/>
      <c r="C58" s="52" t="s">
        <v>231</v>
      </c>
      <c r="D58" s="48" t="s">
        <v>46</v>
      </c>
      <c r="E58" s="52" t="s">
        <v>232</v>
      </c>
      <c r="F58" s="52" t="s">
        <v>178</v>
      </c>
      <c r="G58" s="46" t="n">
        <v>1</v>
      </c>
      <c r="H58" s="46" t="n">
        <v>0</v>
      </c>
      <c r="I58" s="56" t="n">
        <v>44533</v>
      </c>
      <c r="J58" s="47"/>
      <c r="K58" s="47"/>
    </row>
    <row r="59" customFormat="false" ht="12.75" hidden="false" customHeight="false" outlineLevel="0" collapsed="false">
      <c r="A59" s="39" t="s">
        <v>233</v>
      </c>
      <c r="B59" s="51"/>
      <c r="C59" s="51" t="s">
        <v>234</v>
      </c>
      <c r="D59" s="41" t="s">
        <v>46</v>
      </c>
      <c r="E59" s="51" t="s">
        <v>235</v>
      </c>
      <c r="F59" s="51" t="s">
        <v>48</v>
      </c>
      <c r="G59" s="40" t="n">
        <v>1</v>
      </c>
      <c r="H59" s="40" t="n">
        <v>0</v>
      </c>
      <c r="I59" s="57" t="n">
        <v>44564</v>
      </c>
      <c r="J59" s="44"/>
      <c r="K59" s="44"/>
    </row>
    <row r="60" customFormat="false" ht="12.75" hidden="false" customHeight="false" outlineLevel="0" collapsed="false">
      <c r="A60" s="45" t="s">
        <v>236</v>
      </c>
      <c r="B60" s="52" t="s">
        <v>237</v>
      </c>
      <c r="C60" s="52" t="s">
        <v>238</v>
      </c>
      <c r="D60" s="48" t="s">
        <v>46</v>
      </c>
      <c r="E60" s="52" t="s">
        <v>239</v>
      </c>
      <c r="F60" s="52" t="s">
        <v>48</v>
      </c>
      <c r="G60" s="46" t="n">
        <v>1</v>
      </c>
      <c r="H60" s="46" t="n">
        <v>0</v>
      </c>
      <c r="I60" s="56" t="n">
        <v>44564</v>
      </c>
      <c r="J60" s="47"/>
      <c r="K60" s="47"/>
    </row>
    <row r="61" customFormat="false" ht="12.75" hidden="false" customHeight="false" outlineLevel="0" collapsed="false">
      <c r="A61" s="39" t="s">
        <v>240</v>
      </c>
      <c r="B61" s="51" t="s">
        <v>241</v>
      </c>
      <c r="C61" s="51" t="s">
        <v>242</v>
      </c>
      <c r="D61" s="41" t="s">
        <v>46</v>
      </c>
      <c r="E61" s="51"/>
      <c r="F61" s="51"/>
      <c r="G61" s="51"/>
      <c r="H61" s="51"/>
      <c r="I61" s="51"/>
      <c r="J61" s="44"/>
      <c r="K61" s="44"/>
    </row>
    <row r="62" customFormat="false" ht="12.75" hidden="false" customHeight="false" outlineLevel="0" collapsed="false">
      <c r="A62" s="45" t="s">
        <v>243</v>
      </c>
      <c r="B62" s="45" t="s">
        <v>244</v>
      </c>
      <c r="C62" s="52" t="s">
        <v>245</v>
      </c>
      <c r="D62" s="48" t="s">
        <v>46</v>
      </c>
      <c r="E62" s="52" t="s">
        <v>246</v>
      </c>
      <c r="F62" s="52" t="s">
        <v>48</v>
      </c>
      <c r="G62" s="46" t="n">
        <v>1</v>
      </c>
      <c r="H62" s="46" t="n">
        <v>0</v>
      </c>
      <c r="I62" s="56" t="n">
        <v>44593</v>
      </c>
      <c r="J62" s="47"/>
      <c r="K62" s="47"/>
    </row>
    <row r="63" customFormat="false" ht="12.75" hidden="false" customHeight="false" outlineLevel="0" collapsed="false">
      <c r="A63" s="39" t="s">
        <v>247</v>
      </c>
      <c r="B63" s="51"/>
      <c r="C63" s="51" t="s">
        <v>248</v>
      </c>
      <c r="D63" s="41" t="s">
        <v>46</v>
      </c>
      <c r="E63" s="51" t="s">
        <v>249</v>
      </c>
      <c r="F63" s="51" t="s">
        <v>48</v>
      </c>
      <c r="G63" s="40" t="n">
        <v>1</v>
      </c>
      <c r="H63" s="40" t="n">
        <v>0</v>
      </c>
      <c r="I63" s="57" t="n">
        <v>44621</v>
      </c>
      <c r="J63" s="44"/>
      <c r="K63" s="44"/>
    </row>
    <row r="64" customFormat="false" ht="12.75" hidden="false" customHeight="false" outlineLevel="0" collapsed="false">
      <c r="A64" s="45" t="s">
        <v>250</v>
      </c>
      <c r="B64" s="52"/>
      <c r="C64" s="48" t="s">
        <v>251</v>
      </c>
      <c r="D64" s="48" t="s">
        <v>46</v>
      </c>
      <c r="E64" s="52" t="s">
        <v>252</v>
      </c>
      <c r="F64" s="52" t="s">
        <v>253</v>
      </c>
      <c r="G64" s="46" t="n">
        <v>1</v>
      </c>
      <c r="H64" s="46" t="n">
        <v>0</v>
      </c>
      <c r="I64" s="56" t="n">
        <v>44621</v>
      </c>
      <c r="J64" s="47"/>
      <c r="K64" s="47"/>
    </row>
    <row r="65" customFormat="false" ht="12.75" hidden="false" customHeight="false" outlineLevel="0" collapsed="false">
      <c r="A65" s="39" t="s">
        <v>254</v>
      </c>
      <c r="B65" s="51"/>
      <c r="C65" s="51" t="s">
        <v>255</v>
      </c>
      <c r="D65" s="41" t="s">
        <v>46</v>
      </c>
      <c r="E65" s="51" t="s">
        <v>256</v>
      </c>
      <c r="F65" s="51" t="s">
        <v>253</v>
      </c>
      <c r="G65" s="40" t="n">
        <v>1</v>
      </c>
      <c r="H65" s="40" t="n">
        <v>0</v>
      </c>
      <c r="I65" s="57" t="n">
        <v>44621</v>
      </c>
      <c r="J65" s="44"/>
      <c r="K65" s="44"/>
    </row>
    <row r="66" customFormat="false" ht="12.75" hidden="false" customHeight="false" outlineLevel="0" collapsed="false">
      <c r="A66" s="45" t="s">
        <v>257</v>
      </c>
      <c r="B66" s="52"/>
      <c r="C66" s="52" t="s">
        <v>258</v>
      </c>
      <c r="D66" s="48" t="s">
        <v>46</v>
      </c>
      <c r="E66" s="52" t="s">
        <v>259</v>
      </c>
      <c r="F66" s="52" t="s">
        <v>48</v>
      </c>
      <c r="G66" s="46" t="n">
        <v>1</v>
      </c>
      <c r="H66" s="46" t="n">
        <v>0</v>
      </c>
      <c r="I66" s="56" t="n">
        <v>44621</v>
      </c>
      <c r="J66" s="47"/>
      <c r="K66" s="47"/>
    </row>
    <row r="67" customFormat="false" ht="12.75" hidden="false" customHeight="false" outlineLevel="0" collapsed="false">
      <c r="A67" s="39" t="s">
        <v>260</v>
      </c>
      <c r="B67" s="51"/>
      <c r="C67" s="51" t="s">
        <v>261</v>
      </c>
      <c r="D67" s="41" t="s">
        <v>46</v>
      </c>
      <c r="E67" s="51" t="s">
        <v>262</v>
      </c>
      <c r="F67" s="51" t="s">
        <v>48</v>
      </c>
      <c r="G67" s="40" t="n">
        <v>1</v>
      </c>
      <c r="H67" s="40" t="n">
        <v>0</v>
      </c>
      <c r="I67" s="57" t="n">
        <v>44805</v>
      </c>
      <c r="J67" s="44"/>
      <c r="K67" s="44"/>
    </row>
    <row r="68" customFormat="false" ht="12.75" hidden="false" customHeight="false" outlineLevel="0" collapsed="false">
      <c r="A68" s="45" t="s">
        <v>263</v>
      </c>
      <c r="B68" s="52"/>
      <c r="C68" s="52" t="s">
        <v>264</v>
      </c>
      <c r="D68" s="48" t="s">
        <v>46</v>
      </c>
      <c r="E68" s="52" t="s">
        <v>265</v>
      </c>
      <c r="F68" s="52" t="s">
        <v>48</v>
      </c>
      <c r="G68" s="46" t="n">
        <v>1</v>
      </c>
      <c r="H68" s="46" t="n">
        <v>0</v>
      </c>
      <c r="I68" s="56" t="n">
        <v>44743</v>
      </c>
      <c r="J68" s="47"/>
      <c r="K68" s="47"/>
    </row>
    <row r="69" customFormat="false" ht="12.75" hidden="false" customHeight="false" outlineLevel="0" collapsed="false">
      <c r="A69" s="39" t="s">
        <v>266</v>
      </c>
      <c r="B69" s="51"/>
      <c r="C69" s="51" t="s">
        <v>267</v>
      </c>
      <c r="D69" s="41" t="s">
        <v>46</v>
      </c>
      <c r="E69" s="51" t="s">
        <v>268</v>
      </c>
      <c r="F69" s="51" t="s">
        <v>48</v>
      </c>
      <c r="G69" s="40" t="n">
        <v>1</v>
      </c>
      <c r="H69" s="40" t="n">
        <v>0</v>
      </c>
      <c r="I69" s="57" t="n">
        <v>44927</v>
      </c>
      <c r="J69" s="44"/>
      <c r="K69" s="44"/>
    </row>
    <row r="70" customFormat="false" ht="12.75" hidden="false" customHeight="false" outlineLevel="0" collapsed="false">
      <c r="A70" s="45" t="s">
        <v>269</v>
      </c>
      <c r="B70" s="52"/>
      <c r="C70" s="52" t="s">
        <v>270</v>
      </c>
      <c r="D70" s="48" t="s">
        <v>46</v>
      </c>
      <c r="E70" s="52" t="s">
        <v>271</v>
      </c>
      <c r="F70" s="52" t="s">
        <v>48</v>
      </c>
      <c r="G70" s="46" t="n">
        <v>1</v>
      </c>
      <c r="H70" s="46" t="n">
        <v>0</v>
      </c>
      <c r="I70" s="56" t="n">
        <v>44682</v>
      </c>
      <c r="J70" s="47"/>
      <c r="K70" s="47"/>
    </row>
    <row r="71" customFormat="false" ht="12.75" hidden="false" customHeight="false" outlineLevel="0" collapsed="false">
      <c r="A71" s="39" t="s">
        <v>272</v>
      </c>
      <c r="B71" s="51"/>
      <c r="C71" s="51" t="s">
        <v>273</v>
      </c>
      <c r="D71" s="41" t="s">
        <v>46</v>
      </c>
      <c r="E71" s="39" t="s">
        <v>274</v>
      </c>
      <c r="F71" s="39" t="s">
        <v>48</v>
      </c>
      <c r="G71" s="40" t="n">
        <v>0</v>
      </c>
      <c r="H71" s="40" t="n">
        <v>0</v>
      </c>
      <c r="I71" s="57" t="n">
        <v>44774</v>
      </c>
      <c r="J71" s="44"/>
      <c r="K71" s="44"/>
    </row>
    <row r="72" customFormat="false" ht="12.75" hidden="false" customHeight="false" outlineLevel="0" collapsed="false">
      <c r="A72" s="45" t="s">
        <v>275</v>
      </c>
      <c r="B72" s="52"/>
      <c r="C72" s="52" t="s">
        <v>276</v>
      </c>
      <c r="D72" s="48" t="s">
        <v>46</v>
      </c>
      <c r="E72" s="29"/>
      <c r="F72" s="45" t="s">
        <v>48</v>
      </c>
      <c r="G72" s="46" t="n">
        <v>0</v>
      </c>
      <c r="H72" s="46" t="n">
        <v>0</v>
      </c>
      <c r="I72" s="56" t="n">
        <v>44774</v>
      </c>
      <c r="J72" s="47"/>
      <c r="K72" s="47"/>
    </row>
    <row r="73" customFormat="false" ht="12.75" hidden="false" customHeight="false" outlineLevel="0" collapsed="false">
      <c r="A73" s="39" t="s">
        <v>277</v>
      </c>
      <c r="B73" s="51"/>
      <c r="C73" s="51" t="s">
        <v>278</v>
      </c>
      <c r="D73" s="41" t="s">
        <v>46</v>
      </c>
      <c r="E73" s="27"/>
      <c r="F73" s="27"/>
      <c r="G73" s="27"/>
      <c r="H73" s="27"/>
      <c r="I73" s="27"/>
      <c r="J73" s="44"/>
      <c r="K73" s="44"/>
    </row>
    <row r="74" customFormat="false" ht="12.75" hidden="false" customHeight="false" outlineLevel="0" collapsed="false">
      <c r="A74" s="45" t="s">
        <v>279</v>
      </c>
      <c r="B74" s="52"/>
      <c r="C74" s="52" t="s">
        <v>280</v>
      </c>
      <c r="D74" s="48" t="s">
        <v>46</v>
      </c>
      <c r="E74" s="52"/>
      <c r="F74" s="52"/>
      <c r="G74" s="52"/>
      <c r="H74" s="52"/>
      <c r="I74" s="52"/>
      <c r="J74" s="47"/>
      <c r="K74" s="47"/>
    </row>
    <row r="75" customFormat="false" ht="12.75" hidden="false" customHeight="false" outlineLevel="0" collapsed="false">
      <c r="A75" s="39" t="s">
        <v>281</v>
      </c>
      <c r="B75" s="51"/>
      <c r="C75" s="51" t="s">
        <v>282</v>
      </c>
      <c r="D75" s="41" t="s">
        <v>46</v>
      </c>
      <c r="E75" s="51" t="s">
        <v>283</v>
      </c>
      <c r="F75" s="39" t="s">
        <v>48</v>
      </c>
      <c r="G75" s="40" t="n">
        <v>0</v>
      </c>
      <c r="H75" s="40" t="n">
        <v>0</v>
      </c>
      <c r="I75" s="51"/>
      <c r="J75" s="44"/>
      <c r="K75" s="44"/>
    </row>
    <row r="76" customFormat="false" ht="12.75" hidden="false" customHeight="false" outlineLevel="0" collapsed="false">
      <c r="A76" s="45" t="s">
        <v>284</v>
      </c>
      <c r="B76" s="52"/>
      <c r="C76" s="52" t="s">
        <v>285</v>
      </c>
      <c r="D76" s="48" t="s">
        <v>46</v>
      </c>
      <c r="E76" s="52"/>
      <c r="F76" s="52"/>
      <c r="G76" s="52"/>
      <c r="H76" s="52"/>
      <c r="I76" s="52"/>
      <c r="J76" s="47"/>
      <c r="K76" s="47"/>
    </row>
    <row r="77" customFormat="false" ht="12.75" hidden="false" customHeight="false" outlineLevel="0" collapsed="false">
      <c r="A77" s="39" t="s">
        <v>286</v>
      </c>
      <c r="B77" s="51" t="s">
        <v>287</v>
      </c>
      <c r="C77" s="51" t="s">
        <v>288</v>
      </c>
      <c r="D77" s="41" t="s">
        <v>46</v>
      </c>
      <c r="E77" s="51" t="s">
        <v>289</v>
      </c>
      <c r="F77" s="51"/>
      <c r="G77" s="51"/>
      <c r="H77" s="51"/>
      <c r="I77" s="51"/>
      <c r="J77" s="44"/>
      <c r="K77" s="44"/>
    </row>
    <row r="78" customFormat="false" ht="12.75" hidden="false" customHeight="false" outlineLevel="0" collapsed="false">
      <c r="A78" s="45" t="s">
        <v>290</v>
      </c>
      <c r="B78" s="52"/>
      <c r="C78" s="52" t="s">
        <v>291</v>
      </c>
      <c r="D78" s="48" t="s">
        <v>46</v>
      </c>
      <c r="E78" s="52" t="s">
        <v>292</v>
      </c>
      <c r="F78" s="45" t="s">
        <v>293</v>
      </c>
      <c r="G78" s="46" t="n">
        <v>0</v>
      </c>
      <c r="H78" s="46" t="n">
        <v>0</v>
      </c>
      <c r="I78" s="56" t="n">
        <v>44835</v>
      </c>
      <c r="J78" s="47"/>
      <c r="K78" s="47"/>
    </row>
    <row r="79" customFormat="false" ht="12.75" hidden="false" customHeight="false" outlineLevel="0" collapsed="false">
      <c r="A79" s="39" t="s">
        <v>294</v>
      </c>
      <c r="B79" s="51"/>
      <c r="C79" s="51" t="s">
        <v>295</v>
      </c>
      <c r="D79" s="41" t="s">
        <v>46</v>
      </c>
      <c r="E79" s="51" t="s">
        <v>296</v>
      </c>
      <c r="F79" s="39" t="s">
        <v>48</v>
      </c>
      <c r="G79" s="40" t="n">
        <v>0</v>
      </c>
      <c r="H79" s="40" t="n">
        <v>0</v>
      </c>
      <c r="I79" s="57" t="n">
        <v>44835</v>
      </c>
      <c r="J79" s="44"/>
      <c r="K79" s="44"/>
    </row>
    <row r="80" customFormat="false" ht="12.75" hidden="false" customHeight="false" outlineLevel="0" collapsed="false">
      <c r="A80" s="45" t="s">
        <v>297</v>
      </c>
      <c r="B80" s="52"/>
      <c r="C80" s="52" t="s">
        <v>298</v>
      </c>
      <c r="D80" s="48" t="s">
        <v>46</v>
      </c>
      <c r="E80" s="52" t="s">
        <v>299</v>
      </c>
      <c r="F80" s="45" t="s">
        <v>48</v>
      </c>
      <c r="G80" s="46" t="n">
        <v>0</v>
      </c>
      <c r="H80" s="46" t="n">
        <v>0</v>
      </c>
      <c r="I80" s="56" t="n">
        <v>44835</v>
      </c>
      <c r="J80" s="47"/>
      <c r="K80" s="47"/>
    </row>
    <row r="81" customFormat="false" ht="12.75" hidden="false" customHeight="false" outlineLevel="0" collapsed="false">
      <c r="A81" s="39" t="s">
        <v>300</v>
      </c>
      <c r="B81" s="51"/>
      <c r="C81" s="51" t="s">
        <v>301</v>
      </c>
      <c r="D81" s="41" t="s">
        <v>46</v>
      </c>
      <c r="E81" s="51" t="s">
        <v>302</v>
      </c>
      <c r="F81" s="39" t="s">
        <v>48</v>
      </c>
      <c r="G81" s="40" t="n">
        <v>0</v>
      </c>
      <c r="H81" s="40" t="n">
        <v>0</v>
      </c>
      <c r="I81" s="57" t="n">
        <v>44835</v>
      </c>
      <c r="J81" s="44"/>
      <c r="K81" s="44"/>
    </row>
    <row r="82" customFormat="false" ht="12.75" hidden="false" customHeight="false" outlineLevel="0" collapsed="false">
      <c r="A82" s="45" t="s">
        <v>303</v>
      </c>
      <c r="B82" s="52"/>
      <c r="C82" s="52" t="s">
        <v>304</v>
      </c>
      <c r="D82" s="48" t="s">
        <v>46</v>
      </c>
      <c r="E82" s="52" t="s">
        <v>305</v>
      </c>
      <c r="F82" s="45" t="s">
        <v>48</v>
      </c>
      <c r="G82" s="46" t="n">
        <v>0</v>
      </c>
      <c r="H82" s="46" t="n">
        <v>0</v>
      </c>
      <c r="I82" s="56" t="n">
        <v>44835</v>
      </c>
      <c r="J82" s="47"/>
      <c r="K82" s="47"/>
    </row>
    <row r="83" customFormat="false" ht="12.75" hidden="false" customHeight="false" outlineLevel="0" collapsed="false">
      <c r="A83" s="39" t="s">
        <v>306</v>
      </c>
      <c r="B83" s="51"/>
      <c r="C83" s="51" t="s">
        <v>307</v>
      </c>
      <c r="D83" s="41" t="s">
        <v>46</v>
      </c>
      <c r="E83" s="51" t="s">
        <v>308</v>
      </c>
      <c r="F83" s="39" t="s">
        <v>48</v>
      </c>
      <c r="G83" s="40" t="n">
        <v>0</v>
      </c>
      <c r="H83" s="40" t="n">
        <v>0</v>
      </c>
      <c r="I83" s="57" t="n">
        <v>44835</v>
      </c>
      <c r="J83" s="44"/>
      <c r="K83" s="44"/>
    </row>
    <row r="84" customFormat="false" ht="12.75" hidden="false" customHeight="false" outlineLevel="0" collapsed="false">
      <c r="A84" s="45" t="s">
        <v>309</v>
      </c>
      <c r="B84" s="52"/>
      <c r="C84" s="52" t="s">
        <v>310</v>
      </c>
      <c r="D84" s="48" t="s">
        <v>46</v>
      </c>
      <c r="E84" s="52" t="s">
        <v>311</v>
      </c>
      <c r="F84" s="45" t="s">
        <v>48</v>
      </c>
      <c r="G84" s="46" t="n">
        <v>0</v>
      </c>
      <c r="H84" s="46" t="n">
        <v>0</v>
      </c>
      <c r="I84" s="56" t="n">
        <v>44835</v>
      </c>
      <c r="J84" s="47"/>
      <c r="K84" s="47"/>
    </row>
    <row r="85" customFormat="false" ht="12.75" hidden="false" customHeight="false" outlineLevel="0" collapsed="false">
      <c r="A85" s="39" t="s">
        <v>312</v>
      </c>
      <c r="B85" s="51"/>
      <c r="C85" s="51" t="s">
        <v>313</v>
      </c>
      <c r="D85" s="41" t="s">
        <v>46</v>
      </c>
      <c r="E85" s="51" t="s">
        <v>314</v>
      </c>
      <c r="F85" s="39" t="s">
        <v>48</v>
      </c>
      <c r="G85" s="40" t="n">
        <v>0</v>
      </c>
      <c r="H85" s="40" t="n">
        <v>0</v>
      </c>
      <c r="I85" s="57" t="n">
        <v>44958</v>
      </c>
      <c r="J85" s="44"/>
      <c r="K85" s="44"/>
    </row>
    <row r="86" customFormat="false" ht="12.75" hidden="false" customHeight="false" outlineLevel="0" collapsed="false">
      <c r="A86" s="45" t="s">
        <v>315</v>
      </c>
      <c r="B86" s="52"/>
      <c r="C86" s="52" t="s">
        <v>316</v>
      </c>
      <c r="D86" s="48" t="s">
        <v>46</v>
      </c>
      <c r="E86" s="52" t="s">
        <v>317</v>
      </c>
      <c r="F86" s="45" t="s">
        <v>48</v>
      </c>
      <c r="G86" s="46" t="n">
        <v>0</v>
      </c>
      <c r="H86" s="46" t="n">
        <v>0</v>
      </c>
      <c r="I86" s="56" t="n">
        <v>44958</v>
      </c>
      <c r="J86" s="47"/>
      <c r="K86" s="47"/>
    </row>
    <row r="87" customFormat="false" ht="12.75" hidden="false" customHeight="false" outlineLevel="0" collapsed="false">
      <c r="A87" s="39" t="s">
        <v>318</v>
      </c>
      <c r="B87" s="51"/>
      <c r="C87" s="51" t="s">
        <v>319</v>
      </c>
      <c r="D87" s="41" t="s">
        <v>46</v>
      </c>
      <c r="E87" s="51" t="s">
        <v>320</v>
      </c>
      <c r="F87" s="39" t="s">
        <v>48</v>
      </c>
      <c r="G87" s="40" t="n">
        <v>0</v>
      </c>
      <c r="H87" s="40" t="n">
        <v>0</v>
      </c>
      <c r="I87" s="57" t="n">
        <v>44986</v>
      </c>
      <c r="J87" s="44"/>
      <c r="K87" s="44"/>
    </row>
    <row r="88" customFormat="false" ht="12.75" hidden="false" customHeight="false" outlineLevel="0" collapsed="false">
      <c r="A88" s="45" t="s">
        <v>321</v>
      </c>
      <c r="B88" s="52"/>
      <c r="C88" s="52" t="s">
        <v>322</v>
      </c>
      <c r="D88" s="48" t="s">
        <v>46</v>
      </c>
      <c r="E88" s="52" t="s">
        <v>323</v>
      </c>
      <c r="F88" s="45" t="s">
        <v>48</v>
      </c>
      <c r="G88" s="46" t="n">
        <v>0</v>
      </c>
      <c r="H88" s="46" t="n">
        <v>0</v>
      </c>
      <c r="I88" s="56" t="n">
        <v>45047</v>
      </c>
      <c r="J88" s="47"/>
      <c r="K88" s="47"/>
    </row>
    <row r="89" customFormat="false" ht="12.75" hidden="false" customHeight="false" outlineLevel="0" collapsed="false">
      <c r="A89" s="39" t="s">
        <v>324</v>
      </c>
      <c r="B89" s="51"/>
      <c r="C89" s="51" t="s">
        <v>325</v>
      </c>
      <c r="D89" s="41" t="s">
        <v>46</v>
      </c>
      <c r="E89" s="51" t="s">
        <v>326</v>
      </c>
      <c r="F89" s="39" t="s">
        <v>48</v>
      </c>
      <c r="G89" s="40" t="n">
        <v>0</v>
      </c>
      <c r="H89" s="40" t="n">
        <v>0</v>
      </c>
      <c r="I89" s="57" t="n">
        <v>45139</v>
      </c>
      <c r="J89" s="44"/>
      <c r="K89" s="44"/>
    </row>
    <row r="90" customFormat="false" ht="12.75" hidden="false" customHeight="false" outlineLevel="0" collapsed="false">
      <c r="A90" s="45" t="s">
        <v>327</v>
      </c>
      <c r="B90" s="52"/>
      <c r="C90" s="52" t="s">
        <v>328</v>
      </c>
      <c r="D90" s="48" t="s">
        <v>46</v>
      </c>
      <c r="E90" s="52" t="s">
        <v>329</v>
      </c>
      <c r="F90" s="45" t="s">
        <v>48</v>
      </c>
      <c r="G90" s="46" t="n">
        <v>0</v>
      </c>
      <c r="H90" s="46" t="n">
        <v>0</v>
      </c>
      <c r="I90" s="56"/>
      <c r="J90" s="47"/>
      <c r="K90" s="47"/>
    </row>
    <row r="91" customFormat="false" ht="12.75" hidden="false" customHeight="false" outlineLevel="0" collapsed="false">
      <c r="A91" s="39" t="s">
        <v>330</v>
      </c>
      <c r="B91" s="51"/>
      <c r="C91" s="51" t="s">
        <v>331</v>
      </c>
      <c r="D91" s="41" t="s">
        <v>46</v>
      </c>
      <c r="E91" s="51" t="s">
        <v>332</v>
      </c>
      <c r="F91" s="39" t="s">
        <v>48</v>
      </c>
      <c r="G91" s="40" t="n">
        <v>0</v>
      </c>
      <c r="H91" s="40" t="n">
        <v>0</v>
      </c>
      <c r="I91" s="57"/>
      <c r="J91" s="44"/>
      <c r="K91" s="44"/>
    </row>
    <row r="92" customFormat="false" ht="12.75" hidden="false" customHeight="false" outlineLevel="0" collapsed="false">
      <c r="A92" s="45" t="s">
        <v>333</v>
      </c>
      <c r="B92" s="52"/>
      <c r="C92" s="52" t="s">
        <v>334</v>
      </c>
      <c r="D92" s="48" t="s">
        <v>46</v>
      </c>
      <c r="E92" s="52" t="s">
        <v>335</v>
      </c>
      <c r="F92" s="45" t="s">
        <v>48</v>
      </c>
      <c r="G92" s="46" t="n">
        <v>0</v>
      </c>
      <c r="H92" s="46" t="n">
        <v>0</v>
      </c>
      <c r="I92" s="56"/>
      <c r="J92" s="47"/>
      <c r="K92" s="47"/>
    </row>
    <row r="93" customFormat="false" ht="12.75" hidden="false" customHeight="false" outlineLevel="0" collapsed="false">
      <c r="C93" s="61" t="s">
        <v>336</v>
      </c>
      <c r="D93" s="62" t="s">
        <v>46</v>
      </c>
      <c r="E93" s="61" t="s">
        <v>337</v>
      </c>
      <c r="F93" s="63" t="s">
        <v>48</v>
      </c>
      <c r="G93" s="64" t="n">
        <v>0</v>
      </c>
      <c r="H93" s="64" t="n">
        <v>0</v>
      </c>
      <c r="I93" s="65" t="n">
        <v>45474</v>
      </c>
    </row>
  </sheetData>
  <autoFilter ref="A4:K92"/>
  <mergeCells count="4">
    <mergeCell ref="A1:B2"/>
    <mergeCell ref="C1:I1"/>
    <mergeCell ref="C2:I2"/>
    <mergeCell ref="A3:I3"/>
  </mergeCells>
  <printOptions headings="false" gridLines="false" gridLinesSet="true" horizontalCentered="false" verticalCentered="false"/>
  <pageMargins left="0.3" right="0.3" top="0.400694444444444" bottom="0.4" header="0.315277777777778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&amp;R&amp;"Aptos,Regular"&amp;1 &amp;K008000  Informação Pública /  Public Information#_x005F_x000d_</oddHeader>
    <oddFooter>&amp;R&amp;"Aptos,Regular"&amp;K008000 _x005F_x000d_# J Mendes - Nome: K19-204-FER-LD-001-R01 -Lista de Documentos Rev.03.xlsx Aberto Por: filipe.souza@jmendes.com.br Data: 2026-08-11T10:27:55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L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6.14"/>
    <col collapsed="false" customWidth="true" hidden="false" outlineLevel="0" max="3" min="3" style="0" width="48.42"/>
    <col collapsed="false" customWidth="true" hidden="false" outlineLevel="0" max="4" min="4" style="0" width="21.43"/>
    <col collapsed="false" customWidth="true" hidden="false" outlineLevel="0" max="5" min="5" style="0" width="24.42"/>
    <col collapsed="false" customWidth="true" hidden="false" outlineLevel="0" max="6" min="6" style="0" width="58.29"/>
    <col collapsed="false" customWidth="true" hidden="false" outlineLevel="0" max="7" min="7" style="0" width="22.29"/>
    <col collapsed="false" customWidth="true" hidden="false" outlineLevel="0" max="8" min="8" style="0" width="45.43"/>
    <col collapsed="false" customWidth="true" hidden="false" outlineLevel="0" max="9" min="9" style="0" width="9"/>
    <col collapsed="false" customWidth="true" hidden="false" outlineLevel="0" max="10" min="10" style="0" width="13.86"/>
    <col collapsed="false" customWidth="true" hidden="false" outlineLevel="0" max="12" min="11" style="0" width="22"/>
  </cols>
  <sheetData>
    <row r="1" customFormat="false" ht="21.75" hidden="false" customHeight="true" outlineLevel="0" collapsed="false">
      <c r="A1" s="33"/>
      <c r="B1" s="33"/>
      <c r="C1" s="34" t="s">
        <v>30</v>
      </c>
      <c r="D1" s="34"/>
      <c r="E1" s="34"/>
      <c r="F1" s="34"/>
      <c r="G1" s="34"/>
      <c r="H1" s="34"/>
      <c r="I1" s="34"/>
      <c r="J1" s="34"/>
    </row>
    <row r="2" customFormat="false" ht="15.75" hidden="false" customHeight="true" outlineLevel="0" collapsed="false">
      <c r="A2" s="33"/>
      <c r="B2" s="33"/>
      <c r="C2" s="35" t="s">
        <v>31</v>
      </c>
      <c r="D2" s="35"/>
      <c r="E2" s="35"/>
      <c r="F2" s="35"/>
      <c r="G2" s="35"/>
      <c r="H2" s="35"/>
      <c r="I2" s="35"/>
      <c r="J2" s="35"/>
    </row>
    <row r="3" customFormat="false" ht="30" hidden="false" customHeight="true" outlineLevel="0" collapsed="false">
      <c r="A3" s="37" t="s">
        <v>33</v>
      </c>
      <c r="B3" s="37" t="s">
        <v>338</v>
      </c>
      <c r="C3" s="37" t="s">
        <v>35</v>
      </c>
      <c r="D3" s="37"/>
      <c r="E3" s="37" t="s">
        <v>37</v>
      </c>
      <c r="F3" s="37" t="s">
        <v>339</v>
      </c>
      <c r="G3" s="37" t="s">
        <v>340</v>
      </c>
      <c r="H3" s="37" t="s">
        <v>341</v>
      </c>
      <c r="I3" s="37" t="s">
        <v>40</v>
      </c>
      <c r="J3" s="37" t="s">
        <v>41</v>
      </c>
      <c r="K3" s="38" t="s">
        <v>42</v>
      </c>
      <c r="L3" s="38" t="s">
        <v>43</v>
      </c>
    </row>
    <row r="4" customFormat="false" ht="12.75" hidden="false" customHeight="false" outlineLevel="0" collapsed="false">
      <c r="A4" s="39" t="s">
        <v>342</v>
      </c>
      <c r="B4" s="41" t="n">
        <v>6140344</v>
      </c>
      <c r="C4" s="41" t="s">
        <v>45</v>
      </c>
      <c r="D4" s="41" t="s">
        <v>343</v>
      </c>
      <c r="E4" s="41" t="s">
        <v>344</v>
      </c>
      <c r="F4" s="41" t="s">
        <v>47</v>
      </c>
      <c r="G4" s="41" t="s">
        <v>345</v>
      </c>
      <c r="H4" s="41" t="s">
        <v>346</v>
      </c>
      <c r="I4" s="42" t="n">
        <v>0</v>
      </c>
      <c r="J4" s="43" t="n">
        <v>44075</v>
      </c>
      <c r="K4" s="66"/>
      <c r="L4" s="44"/>
    </row>
    <row r="5" customFormat="false" ht="12.75" hidden="false" customHeight="false" outlineLevel="0" collapsed="false">
      <c r="A5" s="45" t="s">
        <v>347</v>
      </c>
      <c r="B5" s="46"/>
      <c r="C5" s="47" t="s">
        <v>50</v>
      </c>
      <c r="D5" s="48" t="s">
        <v>343</v>
      </c>
      <c r="E5" s="48" t="s">
        <v>344</v>
      </c>
      <c r="F5" s="48" t="s">
        <v>51</v>
      </c>
      <c r="G5" s="48" t="s">
        <v>345</v>
      </c>
      <c r="H5" s="48" t="s">
        <v>346</v>
      </c>
      <c r="I5" s="46" t="n">
        <v>0</v>
      </c>
      <c r="J5" s="49" t="n">
        <v>44075</v>
      </c>
      <c r="K5" s="67"/>
      <c r="L5" s="47"/>
    </row>
    <row r="6" customFormat="false" ht="12.75" hidden="false" customHeight="false" outlineLevel="0" collapsed="false">
      <c r="A6" s="39" t="s">
        <v>348</v>
      </c>
      <c r="B6" s="42"/>
      <c r="C6" s="41" t="s">
        <v>53</v>
      </c>
      <c r="D6" s="41" t="s">
        <v>343</v>
      </c>
      <c r="E6" s="41" t="s">
        <v>344</v>
      </c>
      <c r="F6" s="41" t="s">
        <v>54</v>
      </c>
      <c r="G6" s="41" t="s">
        <v>345</v>
      </c>
      <c r="H6" s="41" t="s">
        <v>346</v>
      </c>
      <c r="I6" s="40" t="n">
        <v>0</v>
      </c>
      <c r="J6" s="43" t="n">
        <v>44075</v>
      </c>
      <c r="K6" s="66"/>
      <c r="L6" s="44"/>
    </row>
    <row r="7" customFormat="false" ht="12.75" hidden="false" customHeight="false" outlineLevel="0" collapsed="false">
      <c r="A7" s="45" t="s">
        <v>349</v>
      </c>
      <c r="B7" s="50"/>
      <c r="C7" s="48" t="s">
        <v>57</v>
      </c>
      <c r="D7" s="48" t="s">
        <v>343</v>
      </c>
      <c r="E7" s="48" t="s">
        <v>344</v>
      </c>
      <c r="F7" s="48" t="s">
        <v>58</v>
      </c>
      <c r="G7" s="48" t="s">
        <v>345</v>
      </c>
      <c r="H7" s="48" t="s">
        <v>346</v>
      </c>
      <c r="I7" s="50" t="n">
        <v>0</v>
      </c>
      <c r="J7" s="49" t="n">
        <v>44075</v>
      </c>
      <c r="K7" s="67"/>
      <c r="L7" s="47"/>
    </row>
    <row r="8" customFormat="false" ht="12.75" hidden="false" customHeight="false" outlineLevel="0" collapsed="false">
      <c r="A8" s="39" t="s">
        <v>350</v>
      </c>
      <c r="B8" s="42"/>
      <c r="C8" s="41" t="s">
        <v>60</v>
      </c>
      <c r="D8" s="41" t="s">
        <v>343</v>
      </c>
      <c r="E8" s="41" t="s">
        <v>344</v>
      </c>
      <c r="F8" s="41" t="s">
        <v>61</v>
      </c>
      <c r="G8" s="41" t="s">
        <v>345</v>
      </c>
      <c r="H8" s="41" t="s">
        <v>346</v>
      </c>
      <c r="I8" s="42" t="n">
        <v>0</v>
      </c>
      <c r="J8" s="43" t="n">
        <v>44075</v>
      </c>
      <c r="K8" s="66"/>
      <c r="L8" s="44"/>
    </row>
    <row r="9" customFormat="false" ht="12.75" hidden="false" customHeight="false" outlineLevel="0" collapsed="false">
      <c r="A9" s="45" t="s">
        <v>351</v>
      </c>
      <c r="B9" s="50"/>
      <c r="C9" s="48" t="s">
        <v>63</v>
      </c>
      <c r="D9" s="48" t="s">
        <v>343</v>
      </c>
      <c r="E9" s="48" t="s">
        <v>344</v>
      </c>
      <c r="F9" s="48" t="s">
        <v>64</v>
      </c>
      <c r="G9" s="48" t="s">
        <v>345</v>
      </c>
      <c r="H9" s="48" t="s">
        <v>346</v>
      </c>
      <c r="I9" s="46" t="n">
        <v>0</v>
      </c>
      <c r="J9" s="49" t="n">
        <v>44075</v>
      </c>
      <c r="K9" s="67"/>
      <c r="L9" s="47"/>
    </row>
    <row r="10" customFormat="false" ht="12.75" hidden="false" customHeight="false" outlineLevel="0" collapsed="false">
      <c r="A10" s="39" t="s">
        <v>352</v>
      </c>
      <c r="B10" s="42"/>
      <c r="C10" s="41" t="s">
        <v>67</v>
      </c>
      <c r="D10" s="41" t="s">
        <v>343</v>
      </c>
      <c r="E10" s="41" t="s">
        <v>344</v>
      </c>
      <c r="F10" s="41" t="s">
        <v>68</v>
      </c>
      <c r="G10" s="41" t="s">
        <v>345</v>
      </c>
      <c r="H10" s="41" t="s">
        <v>346</v>
      </c>
      <c r="I10" s="40" t="n">
        <v>0</v>
      </c>
      <c r="J10" s="43" t="n">
        <v>44075</v>
      </c>
      <c r="K10" s="66"/>
      <c r="L10" s="44"/>
    </row>
    <row r="11" customFormat="false" ht="12.75" hidden="false" customHeight="false" outlineLevel="0" collapsed="false">
      <c r="A11" s="45" t="s">
        <v>353</v>
      </c>
      <c r="B11" s="50"/>
      <c r="C11" s="48" t="s">
        <v>71</v>
      </c>
      <c r="D11" s="48" t="s">
        <v>343</v>
      </c>
      <c r="E11" s="48" t="s">
        <v>344</v>
      </c>
      <c r="F11" s="48" t="s">
        <v>72</v>
      </c>
      <c r="G11" s="48" t="s">
        <v>345</v>
      </c>
      <c r="H11" s="48" t="s">
        <v>346</v>
      </c>
      <c r="I11" s="46" t="n">
        <v>0</v>
      </c>
      <c r="J11" s="49" t="n">
        <v>44075</v>
      </c>
      <c r="K11" s="67"/>
      <c r="L11" s="47"/>
    </row>
    <row r="12" customFormat="false" ht="12.75" hidden="false" customHeight="false" outlineLevel="0" collapsed="false">
      <c r="A12" s="39" t="s">
        <v>354</v>
      </c>
      <c r="B12" s="42"/>
      <c r="C12" s="41" t="s">
        <v>75</v>
      </c>
      <c r="D12" s="41" t="s">
        <v>343</v>
      </c>
      <c r="E12" s="41" t="s">
        <v>344</v>
      </c>
      <c r="F12" s="41" t="s">
        <v>76</v>
      </c>
      <c r="G12" s="41" t="s">
        <v>345</v>
      </c>
      <c r="H12" s="41" t="s">
        <v>346</v>
      </c>
      <c r="I12" s="40" t="n">
        <v>0</v>
      </c>
      <c r="J12" s="43" t="n">
        <v>44075</v>
      </c>
      <c r="K12" s="66"/>
      <c r="L12" s="44"/>
    </row>
    <row r="13" customFormat="false" ht="12.75" hidden="false" customHeight="false" outlineLevel="0" collapsed="false">
      <c r="A13" s="45" t="s">
        <v>355</v>
      </c>
      <c r="B13" s="46"/>
      <c r="C13" s="47" t="s">
        <v>78</v>
      </c>
      <c r="D13" s="48" t="s">
        <v>343</v>
      </c>
      <c r="E13" s="48" t="s">
        <v>344</v>
      </c>
      <c r="F13" s="48" t="s">
        <v>79</v>
      </c>
      <c r="G13" s="48" t="s">
        <v>345</v>
      </c>
      <c r="H13" s="48" t="s">
        <v>346</v>
      </c>
      <c r="I13" s="46" t="n">
        <v>0</v>
      </c>
      <c r="J13" s="49" t="n">
        <v>44075</v>
      </c>
      <c r="K13" s="67"/>
      <c r="L13" s="47"/>
    </row>
    <row r="14" customFormat="false" ht="12.75" hidden="false" customHeight="false" outlineLevel="0" collapsed="false">
      <c r="A14" s="39" t="s">
        <v>356</v>
      </c>
      <c r="B14" s="40"/>
      <c r="C14" s="44" t="s">
        <v>81</v>
      </c>
      <c r="D14" s="41" t="s">
        <v>343</v>
      </c>
      <c r="E14" s="41" t="s">
        <v>344</v>
      </c>
      <c r="F14" s="41" t="s">
        <v>82</v>
      </c>
      <c r="G14" s="41" t="s">
        <v>345</v>
      </c>
      <c r="H14" s="41" t="s">
        <v>346</v>
      </c>
      <c r="I14" s="40" t="n">
        <v>0</v>
      </c>
      <c r="J14" s="43" t="n">
        <v>44075</v>
      </c>
      <c r="K14" s="66"/>
      <c r="L14" s="44"/>
    </row>
    <row r="15" customFormat="false" ht="12.75" hidden="false" customHeight="false" outlineLevel="0" collapsed="false">
      <c r="A15" s="45" t="s">
        <v>357</v>
      </c>
      <c r="B15" s="46"/>
      <c r="C15" s="47" t="s">
        <v>85</v>
      </c>
      <c r="D15" s="48" t="s">
        <v>343</v>
      </c>
      <c r="E15" s="48" t="s">
        <v>344</v>
      </c>
      <c r="F15" s="48" t="s">
        <v>86</v>
      </c>
      <c r="G15" s="48" t="s">
        <v>345</v>
      </c>
      <c r="H15" s="48" t="s">
        <v>346</v>
      </c>
      <c r="I15" s="46" t="n">
        <v>0</v>
      </c>
      <c r="J15" s="49" t="n">
        <v>44075</v>
      </c>
      <c r="K15" s="67"/>
      <c r="L15" s="47"/>
    </row>
    <row r="16" customFormat="false" ht="12.75" hidden="false" customHeight="false" outlineLevel="0" collapsed="false">
      <c r="A16" s="39" t="s">
        <v>358</v>
      </c>
      <c r="B16" s="51"/>
      <c r="C16" s="44" t="s">
        <v>88</v>
      </c>
      <c r="D16" s="41" t="s">
        <v>343</v>
      </c>
      <c r="E16" s="41" t="s">
        <v>344</v>
      </c>
      <c r="F16" s="41" t="s">
        <v>89</v>
      </c>
      <c r="G16" s="41" t="s">
        <v>345</v>
      </c>
      <c r="H16" s="41" t="s">
        <v>346</v>
      </c>
      <c r="I16" s="40" t="n">
        <v>0</v>
      </c>
      <c r="J16" s="43" t="n">
        <v>44075</v>
      </c>
      <c r="K16" s="66"/>
      <c r="L16" s="44"/>
    </row>
    <row r="17" customFormat="false" ht="12.75" hidden="false" customHeight="false" outlineLevel="0" collapsed="false">
      <c r="A17" s="45" t="s">
        <v>359</v>
      </c>
      <c r="B17" s="52"/>
      <c r="C17" s="47" t="s">
        <v>91</v>
      </c>
      <c r="D17" s="48" t="s">
        <v>343</v>
      </c>
      <c r="E17" s="48" t="s">
        <v>344</v>
      </c>
      <c r="F17" s="48" t="s">
        <v>92</v>
      </c>
      <c r="G17" s="48" t="s">
        <v>345</v>
      </c>
      <c r="H17" s="48" t="s">
        <v>346</v>
      </c>
      <c r="I17" s="46" t="n">
        <v>0</v>
      </c>
      <c r="J17" s="49" t="n">
        <v>44075</v>
      </c>
      <c r="K17" s="67"/>
      <c r="L17" s="47"/>
    </row>
    <row r="18" customFormat="false" ht="12.75" hidden="false" customHeight="false" outlineLevel="0" collapsed="false">
      <c r="A18" s="39" t="s">
        <v>360</v>
      </c>
      <c r="B18" s="51"/>
      <c r="C18" s="44" t="s">
        <v>94</v>
      </c>
      <c r="D18" s="41" t="s">
        <v>343</v>
      </c>
      <c r="E18" s="41" t="s">
        <v>344</v>
      </c>
      <c r="F18" s="41" t="s">
        <v>95</v>
      </c>
      <c r="G18" s="41" t="s">
        <v>345</v>
      </c>
      <c r="H18" s="41" t="s">
        <v>346</v>
      </c>
      <c r="I18" s="40" t="n">
        <v>0</v>
      </c>
      <c r="J18" s="43" t="n">
        <v>44075</v>
      </c>
      <c r="K18" s="66"/>
      <c r="L18" s="44"/>
    </row>
    <row r="19" customFormat="false" ht="12.75" hidden="false" customHeight="false" outlineLevel="0" collapsed="false">
      <c r="A19" s="45" t="s">
        <v>361</v>
      </c>
      <c r="B19" s="52"/>
      <c r="C19" s="47" t="s">
        <v>97</v>
      </c>
      <c r="D19" s="48" t="s">
        <v>343</v>
      </c>
      <c r="E19" s="48" t="s">
        <v>344</v>
      </c>
      <c r="F19" s="48" t="s">
        <v>98</v>
      </c>
      <c r="G19" s="48" t="s">
        <v>345</v>
      </c>
      <c r="H19" s="48" t="s">
        <v>346</v>
      </c>
      <c r="I19" s="46" t="n">
        <v>0</v>
      </c>
      <c r="J19" s="49" t="n">
        <v>44075</v>
      </c>
      <c r="K19" s="67"/>
      <c r="L19" s="47"/>
    </row>
    <row r="20" customFormat="false" ht="12.75" hidden="false" customHeight="false" outlineLevel="0" collapsed="false">
      <c r="A20" s="39" t="s">
        <v>362</v>
      </c>
      <c r="B20" s="51"/>
      <c r="C20" s="44" t="s">
        <v>100</v>
      </c>
      <c r="D20" s="41" t="s">
        <v>343</v>
      </c>
      <c r="E20" s="41" t="s">
        <v>344</v>
      </c>
      <c r="F20" s="41" t="s">
        <v>101</v>
      </c>
      <c r="G20" s="41" t="s">
        <v>345</v>
      </c>
      <c r="H20" s="41" t="s">
        <v>346</v>
      </c>
      <c r="I20" s="40" t="n">
        <v>0</v>
      </c>
      <c r="J20" s="43" t="n">
        <v>44075</v>
      </c>
      <c r="K20" s="66"/>
      <c r="L20" s="44"/>
    </row>
    <row r="21" customFormat="false" ht="12.75" hidden="false" customHeight="false" outlineLevel="0" collapsed="false">
      <c r="A21" s="45" t="s">
        <v>363</v>
      </c>
      <c r="B21" s="52"/>
      <c r="C21" s="47" t="s">
        <v>364</v>
      </c>
      <c r="D21" s="48" t="s">
        <v>343</v>
      </c>
      <c r="E21" s="48" t="s">
        <v>344</v>
      </c>
      <c r="F21" s="48" t="s">
        <v>365</v>
      </c>
      <c r="G21" s="48" t="s">
        <v>345</v>
      </c>
      <c r="H21" s="48" t="s">
        <v>346</v>
      </c>
      <c r="I21" s="46" t="n">
        <v>0</v>
      </c>
      <c r="J21" s="49" t="n">
        <v>44075</v>
      </c>
      <c r="K21" s="67"/>
      <c r="L21" s="47"/>
    </row>
    <row r="22" customFormat="false" ht="12.75" hidden="false" customHeight="false" outlineLevel="0" collapsed="false">
      <c r="A22" s="39" t="s">
        <v>366</v>
      </c>
      <c r="B22" s="51"/>
      <c r="C22" s="44" t="s">
        <v>367</v>
      </c>
      <c r="D22" s="41" t="s">
        <v>343</v>
      </c>
      <c r="E22" s="41" t="s">
        <v>344</v>
      </c>
      <c r="F22" s="41" t="s">
        <v>108</v>
      </c>
      <c r="G22" s="41" t="s">
        <v>345</v>
      </c>
      <c r="H22" s="41" t="s">
        <v>346</v>
      </c>
      <c r="I22" s="40" t="n">
        <v>0</v>
      </c>
      <c r="J22" s="43" t="n">
        <v>44075</v>
      </c>
      <c r="K22" s="66"/>
      <c r="L22" s="44"/>
    </row>
    <row r="23" customFormat="false" ht="12.75" hidden="false" customHeight="false" outlineLevel="0" collapsed="false">
      <c r="A23" s="45" t="s">
        <v>368</v>
      </c>
      <c r="B23" s="52"/>
      <c r="C23" s="47" t="s">
        <v>369</v>
      </c>
      <c r="D23" s="48" t="s">
        <v>343</v>
      </c>
      <c r="E23" s="48" t="s">
        <v>344</v>
      </c>
      <c r="F23" s="48" t="s">
        <v>370</v>
      </c>
      <c r="G23" s="48" t="s">
        <v>345</v>
      </c>
      <c r="H23" s="48" t="s">
        <v>346</v>
      </c>
      <c r="I23" s="46" t="n">
        <v>0</v>
      </c>
      <c r="J23" s="49" t="n">
        <v>44075</v>
      </c>
      <c r="K23" s="67"/>
      <c r="L23" s="47"/>
    </row>
    <row r="24" customFormat="false" ht="12.75" hidden="false" customHeight="false" outlineLevel="0" collapsed="false">
      <c r="A24" s="39" t="s">
        <v>371</v>
      </c>
      <c r="B24" s="39" t="s">
        <v>113</v>
      </c>
      <c r="C24" s="44" t="s">
        <v>372</v>
      </c>
      <c r="D24" s="41" t="s">
        <v>343</v>
      </c>
      <c r="E24" s="41" t="s">
        <v>344</v>
      </c>
      <c r="F24" s="41" t="s">
        <v>373</v>
      </c>
      <c r="G24" s="41" t="s">
        <v>345</v>
      </c>
      <c r="H24" s="41" t="s">
        <v>346</v>
      </c>
      <c r="I24" s="40" t="n">
        <v>0</v>
      </c>
      <c r="J24" s="43" t="n">
        <v>44136</v>
      </c>
      <c r="K24" s="66"/>
      <c r="L24" s="44"/>
    </row>
    <row r="25" customFormat="false" ht="12.75" hidden="false" customHeight="false" outlineLevel="0" collapsed="false">
      <c r="A25" s="45" t="s">
        <v>374</v>
      </c>
      <c r="B25" s="52"/>
      <c r="C25" s="47" t="s">
        <v>118</v>
      </c>
      <c r="D25" s="48" t="s">
        <v>343</v>
      </c>
      <c r="E25" s="48" t="s">
        <v>344</v>
      </c>
      <c r="F25" s="48" t="s">
        <v>119</v>
      </c>
      <c r="G25" s="48" t="s">
        <v>345</v>
      </c>
      <c r="H25" s="48" t="s">
        <v>346</v>
      </c>
      <c r="I25" s="46" t="n">
        <v>0</v>
      </c>
      <c r="J25" s="49" t="n">
        <v>44136</v>
      </c>
      <c r="K25" s="67"/>
      <c r="L25" s="47"/>
    </row>
    <row r="26" customFormat="false" ht="12.75" hidden="false" customHeight="false" outlineLevel="0" collapsed="false">
      <c r="A26" s="39" t="s">
        <v>375</v>
      </c>
      <c r="B26" s="39" t="s">
        <v>121</v>
      </c>
      <c r="C26" s="44" t="s">
        <v>122</v>
      </c>
      <c r="D26" s="41" t="s">
        <v>343</v>
      </c>
      <c r="E26" s="41" t="s">
        <v>344</v>
      </c>
      <c r="F26" s="41" t="s">
        <v>123</v>
      </c>
      <c r="G26" s="41" t="s">
        <v>345</v>
      </c>
      <c r="H26" s="41" t="s">
        <v>346</v>
      </c>
      <c r="I26" s="40" t="n">
        <v>0</v>
      </c>
      <c r="J26" s="43" t="n">
        <v>44136</v>
      </c>
      <c r="K26" s="66"/>
      <c r="L26" s="44"/>
    </row>
    <row r="27" customFormat="false" ht="12.75" hidden="false" customHeight="false" outlineLevel="0" collapsed="false">
      <c r="A27" s="45" t="s">
        <v>376</v>
      </c>
      <c r="B27" s="52"/>
      <c r="C27" s="47" t="s">
        <v>125</v>
      </c>
      <c r="D27" s="48" t="s">
        <v>343</v>
      </c>
      <c r="E27" s="48" t="s">
        <v>344</v>
      </c>
      <c r="F27" s="48" t="s">
        <v>126</v>
      </c>
      <c r="G27" s="48" t="s">
        <v>345</v>
      </c>
      <c r="H27" s="48" t="s">
        <v>346</v>
      </c>
      <c r="I27" s="46" t="n">
        <v>0</v>
      </c>
      <c r="J27" s="49" t="n">
        <v>44136</v>
      </c>
      <c r="K27" s="67"/>
      <c r="L27" s="47"/>
    </row>
    <row r="28" customFormat="false" ht="12.75" hidden="false" customHeight="false" outlineLevel="0" collapsed="false">
      <c r="A28" s="39" t="s">
        <v>377</v>
      </c>
      <c r="B28" s="51"/>
      <c r="C28" s="44" t="s">
        <v>128</v>
      </c>
      <c r="D28" s="41" t="s">
        <v>343</v>
      </c>
      <c r="E28" s="41" t="s">
        <v>344</v>
      </c>
      <c r="F28" s="41" t="s">
        <v>129</v>
      </c>
      <c r="G28" s="41" t="s">
        <v>345</v>
      </c>
      <c r="H28" s="41" t="s">
        <v>346</v>
      </c>
      <c r="I28" s="40" t="n">
        <v>0</v>
      </c>
      <c r="J28" s="43" t="n">
        <v>44136</v>
      </c>
      <c r="K28" s="66"/>
      <c r="L28" s="44"/>
    </row>
    <row r="29" customFormat="false" ht="12.75" hidden="false" customHeight="false" outlineLevel="0" collapsed="false">
      <c r="A29" s="45" t="s">
        <v>378</v>
      </c>
      <c r="B29" s="52"/>
      <c r="C29" s="47" t="s">
        <v>131</v>
      </c>
      <c r="D29" s="48" t="s">
        <v>343</v>
      </c>
      <c r="E29" s="48" t="s">
        <v>344</v>
      </c>
      <c r="F29" s="48" t="s">
        <v>132</v>
      </c>
      <c r="G29" s="48" t="s">
        <v>345</v>
      </c>
      <c r="H29" s="48" t="s">
        <v>346</v>
      </c>
      <c r="I29" s="46" t="n">
        <v>0</v>
      </c>
      <c r="J29" s="49" t="n">
        <v>44136</v>
      </c>
      <c r="K29" s="67"/>
      <c r="L29" s="47"/>
    </row>
    <row r="30" customFormat="false" ht="12.75" hidden="false" customHeight="false" outlineLevel="0" collapsed="false">
      <c r="A30" s="39" t="s">
        <v>379</v>
      </c>
      <c r="B30" s="51"/>
      <c r="C30" s="44" t="s">
        <v>134</v>
      </c>
      <c r="D30" s="41" t="s">
        <v>343</v>
      </c>
      <c r="E30" s="41" t="s">
        <v>344</v>
      </c>
      <c r="F30" s="41" t="s">
        <v>135</v>
      </c>
      <c r="G30" s="41" t="s">
        <v>345</v>
      </c>
      <c r="H30" s="41" t="s">
        <v>346</v>
      </c>
      <c r="I30" s="40" t="n">
        <v>0</v>
      </c>
      <c r="J30" s="43" t="n">
        <v>44136</v>
      </c>
      <c r="K30" s="66"/>
      <c r="L30" s="44"/>
    </row>
    <row r="31" customFormat="false" ht="12.75" hidden="false" customHeight="false" outlineLevel="0" collapsed="false">
      <c r="A31" s="45" t="s">
        <v>380</v>
      </c>
      <c r="B31" s="52"/>
      <c r="C31" s="47" t="s">
        <v>381</v>
      </c>
      <c r="D31" s="48" t="s">
        <v>343</v>
      </c>
      <c r="E31" s="48" t="s">
        <v>344</v>
      </c>
      <c r="F31" s="48" t="s">
        <v>382</v>
      </c>
      <c r="G31" s="48" t="s">
        <v>345</v>
      </c>
      <c r="H31" s="48" t="s">
        <v>346</v>
      </c>
      <c r="I31" s="46" t="n">
        <v>0</v>
      </c>
      <c r="J31" s="49" t="n">
        <v>44136</v>
      </c>
      <c r="K31" s="67"/>
      <c r="L31" s="47"/>
    </row>
    <row r="32" customFormat="false" ht="12.75" hidden="false" customHeight="false" outlineLevel="0" collapsed="false">
      <c r="A32" s="39" t="s">
        <v>383</v>
      </c>
      <c r="B32" s="51"/>
      <c r="C32" s="44" t="s">
        <v>384</v>
      </c>
      <c r="D32" s="41" t="s">
        <v>343</v>
      </c>
      <c r="E32" s="41" t="s">
        <v>344</v>
      </c>
      <c r="F32" s="41" t="s">
        <v>385</v>
      </c>
      <c r="G32" s="41" t="s">
        <v>345</v>
      </c>
      <c r="H32" s="41" t="s">
        <v>346</v>
      </c>
      <c r="I32" s="40" t="n">
        <v>0</v>
      </c>
      <c r="J32" s="43" t="n">
        <v>44136</v>
      </c>
      <c r="K32" s="66"/>
      <c r="L32" s="44"/>
    </row>
    <row r="33" customFormat="false" ht="12.75" hidden="false" customHeight="false" outlineLevel="0" collapsed="false">
      <c r="A33" s="45" t="s">
        <v>386</v>
      </c>
      <c r="B33" s="52"/>
      <c r="C33" s="47" t="s">
        <v>144</v>
      </c>
      <c r="D33" s="48" t="s">
        <v>343</v>
      </c>
      <c r="E33" s="48" t="s">
        <v>344</v>
      </c>
      <c r="F33" s="48" t="s">
        <v>145</v>
      </c>
      <c r="G33" s="48" t="s">
        <v>345</v>
      </c>
      <c r="H33" s="48" t="s">
        <v>346</v>
      </c>
      <c r="I33" s="46" t="n">
        <v>0</v>
      </c>
      <c r="J33" s="49" t="n">
        <v>44136</v>
      </c>
      <c r="K33" s="67"/>
      <c r="L33" s="47"/>
    </row>
    <row r="34" customFormat="false" ht="12.75" hidden="false" customHeight="false" outlineLevel="0" collapsed="false">
      <c r="A34" s="39" t="s">
        <v>387</v>
      </c>
      <c r="B34" s="51"/>
      <c r="C34" s="44" t="s">
        <v>147</v>
      </c>
      <c r="D34" s="41" t="s">
        <v>343</v>
      </c>
      <c r="E34" s="41" t="s">
        <v>344</v>
      </c>
      <c r="F34" s="41" t="s">
        <v>148</v>
      </c>
      <c r="G34" s="41" t="s">
        <v>345</v>
      </c>
      <c r="H34" s="41" t="s">
        <v>346</v>
      </c>
      <c r="I34" s="40" t="n">
        <v>0</v>
      </c>
      <c r="J34" s="43" t="n">
        <v>44136</v>
      </c>
      <c r="K34" s="66"/>
      <c r="L34" s="44"/>
    </row>
    <row r="35" customFormat="false" ht="12.75" hidden="false" customHeight="false" outlineLevel="0" collapsed="false">
      <c r="A35" s="45" t="s">
        <v>388</v>
      </c>
      <c r="B35" s="52"/>
      <c r="C35" s="47" t="s">
        <v>150</v>
      </c>
      <c r="D35" s="48" t="s">
        <v>343</v>
      </c>
      <c r="E35" s="48" t="s">
        <v>344</v>
      </c>
      <c r="F35" s="48" t="s">
        <v>151</v>
      </c>
      <c r="G35" s="48" t="s">
        <v>345</v>
      </c>
      <c r="H35" s="48" t="s">
        <v>346</v>
      </c>
      <c r="I35" s="46" t="n">
        <v>0</v>
      </c>
      <c r="J35" s="49" t="n">
        <v>44136</v>
      </c>
      <c r="K35" s="67"/>
      <c r="L35" s="47"/>
    </row>
    <row r="36" customFormat="false" ht="12.75" hidden="false" customHeight="false" outlineLevel="0" collapsed="false">
      <c r="A36" s="39" t="s">
        <v>389</v>
      </c>
      <c r="B36" s="51"/>
      <c r="C36" s="41" t="s">
        <v>154</v>
      </c>
      <c r="D36" s="41" t="s">
        <v>343</v>
      </c>
      <c r="E36" s="41" t="s">
        <v>344</v>
      </c>
      <c r="F36" s="41" t="s">
        <v>155</v>
      </c>
      <c r="G36" s="41" t="s">
        <v>345</v>
      </c>
      <c r="H36" s="41" t="s">
        <v>346</v>
      </c>
      <c r="I36" s="40" t="n">
        <v>0</v>
      </c>
      <c r="J36" s="43" t="n">
        <v>44136</v>
      </c>
      <c r="K36" s="66"/>
      <c r="L36" s="44"/>
    </row>
    <row r="37" customFormat="false" ht="12.75" hidden="false" customHeight="false" outlineLevel="0" collapsed="false">
      <c r="A37" s="45" t="s">
        <v>390</v>
      </c>
      <c r="B37" s="52"/>
      <c r="C37" s="47" t="s">
        <v>157</v>
      </c>
      <c r="D37" s="48" t="s">
        <v>343</v>
      </c>
      <c r="E37" s="48" t="s">
        <v>344</v>
      </c>
      <c r="F37" s="48" t="s">
        <v>158</v>
      </c>
      <c r="G37" s="48" t="s">
        <v>345</v>
      </c>
      <c r="H37" s="48" t="s">
        <v>346</v>
      </c>
      <c r="I37" s="46" t="n">
        <v>0</v>
      </c>
      <c r="J37" s="49" t="n">
        <v>44136</v>
      </c>
      <c r="K37" s="67"/>
      <c r="L37" s="47"/>
    </row>
    <row r="38" customFormat="false" ht="12.75" hidden="false" customHeight="false" outlineLevel="0" collapsed="false">
      <c r="A38" s="39" t="s">
        <v>391</v>
      </c>
      <c r="B38" s="51"/>
      <c r="C38" s="44" t="s">
        <v>160</v>
      </c>
      <c r="D38" s="41" t="s">
        <v>343</v>
      </c>
      <c r="E38" s="41" t="s">
        <v>344</v>
      </c>
      <c r="F38" s="41" t="s">
        <v>392</v>
      </c>
      <c r="G38" s="41" t="s">
        <v>345</v>
      </c>
      <c r="H38" s="41" t="s">
        <v>346</v>
      </c>
      <c r="I38" s="40" t="n">
        <v>1</v>
      </c>
      <c r="J38" s="43" t="n">
        <v>44136</v>
      </c>
      <c r="K38" s="66"/>
      <c r="L38" s="44"/>
    </row>
    <row r="39" customFormat="false" ht="12.75" hidden="false" customHeight="false" outlineLevel="0" collapsed="false">
      <c r="A39" s="45" t="s">
        <v>393</v>
      </c>
      <c r="B39" s="52" t="n">
        <v>20210369268</v>
      </c>
      <c r="C39" s="47" t="s">
        <v>394</v>
      </c>
      <c r="D39" s="48" t="s">
        <v>343</v>
      </c>
      <c r="E39" s="48" t="s">
        <v>344</v>
      </c>
      <c r="F39" s="48" t="s">
        <v>395</v>
      </c>
      <c r="G39" s="48" t="s">
        <v>345</v>
      </c>
      <c r="H39" s="48" t="s">
        <v>346</v>
      </c>
      <c r="I39" s="46" t="n">
        <v>0</v>
      </c>
      <c r="J39" s="49" t="n">
        <v>44136</v>
      </c>
      <c r="K39" s="67"/>
      <c r="L39" s="47"/>
    </row>
    <row r="40" customFormat="false" ht="12.75" hidden="false" customHeight="false" outlineLevel="0" collapsed="false">
      <c r="A40" s="39" t="s">
        <v>396</v>
      </c>
      <c r="B40" s="51" t="s">
        <v>397</v>
      </c>
      <c r="C40" s="44" t="s">
        <v>167</v>
      </c>
      <c r="D40" s="41" t="s">
        <v>343</v>
      </c>
      <c r="E40" s="41" t="s">
        <v>344</v>
      </c>
      <c r="F40" s="41" t="s">
        <v>168</v>
      </c>
      <c r="G40" s="41" t="s">
        <v>345</v>
      </c>
      <c r="H40" s="41" t="s">
        <v>346</v>
      </c>
      <c r="I40" s="40" t="n">
        <v>0</v>
      </c>
      <c r="J40" s="43" t="n">
        <v>44136</v>
      </c>
      <c r="K40" s="66"/>
      <c r="L40" s="44"/>
    </row>
    <row r="41" customFormat="false" ht="12.75" hidden="false" customHeight="false" outlineLevel="0" collapsed="false">
      <c r="A41" s="45" t="s">
        <v>398</v>
      </c>
      <c r="B41" s="45" t="s">
        <v>171</v>
      </c>
      <c r="C41" s="47" t="s">
        <v>172</v>
      </c>
      <c r="D41" s="48" t="s">
        <v>343</v>
      </c>
      <c r="E41" s="48" t="s">
        <v>344</v>
      </c>
      <c r="F41" s="48" t="s">
        <v>173</v>
      </c>
      <c r="G41" s="48" t="s">
        <v>345</v>
      </c>
      <c r="H41" s="48" t="s">
        <v>346</v>
      </c>
      <c r="I41" s="46" t="n">
        <v>0</v>
      </c>
      <c r="J41" s="49" t="n">
        <v>44136</v>
      </c>
      <c r="K41" s="67"/>
      <c r="L41" s="47"/>
    </row>
    <row r="42" customFormat="false" ht="12.75" hidden="false" customHeight="false" outlineLevel="0" collapsed="false">
      <c r="A42" s="39" t="s">
        <v>399</v>
      </c>
      <c r="B42" s="39" t="s">
        <v>175</v>
      </c>
      <c r="C42" s="44" t="s">
        <v>176</v>
      </c>
      <c r="D42" s="41" t="s">
        <v>343</v>
      </c>
      <c r="E42" s="41" t="s">
        <v>344</v>
      </c>
      <c r="F42" s="41" t="s">
        <v>177</v>
      </c>
      <c r="G42" s="41" t="s">
        <v>345</v>
      </c>
      <c r="H42" s="41" t="s">
        <v>346</v>
      </c>
      <c r="I42" s="40" t="n">
        <v>0</v>
      </c>
      <c r="J42" s="43" t="n">
        <v>44136</v>
      </c>
      <c r="K42" s="66"/>
      <c r="L42" s="44"/>
    </row>
    <row r="43" customFormat="false" ht="12.75" hidden="false" customHeight="false" outlineLevel="0" collapsed="false">
      <c r="A43" s="45" t="s">
        <v>400</v>
      </c>
      <c r="B43" s="52" t="s">
        <v>401</v>
      </c>
      <c r="C43" s="47" t="s">
        <v>402</v>
      </c>
      <c r="D43" s="48" t="s">
        <v>343</v>
      </c>
      <c r="E43" s="48" t="s">
        <v>344</v>
      </c>
      <c r="F43" s="48" t="s">
        <v>163</v>
      </c>
      <c r="G43" s="48" t="s">
        <v>345</v>
      </c>
      <c r="H43" s="48" t="s">
        <v>346</v>
      </c>
      <c r="I43" s="46" t="n">
        <v>0</v>
      </c>
      <c r="J43" s="49" t="n">
        <v>44166</v>
      </c>
      <c r="K43" s="67"/>
      <c r="L43" s="47"/>
    </row>
    <row r="44" customFormat="false" ht="12.75" hidden="false" customHeight="false" outlineLevel="0" collapsed="false">
      <c r="A44" s="39" t="s">
        <v>403</v>
      </c>
      <c r="B44" s="39" t="s">
        <v>183</v>
      </c>
      <c r="C44" s="41" t="s">
        <v>184</v>
      </c>
      <c r="D44" s="41" t="s">
        <v>343</v>
      </c>
      <c r="E44" s="41" t="s">
        <v>344</v>
      </c>
      <c r="F44" s="41" t="s">
        <v>185</v>
      </c>
      <c r="G44" s="41" t="s">
        <v>345</v>
      </c>
      <c r="H44" s="41" t="s">
        <v>346</v>
      </c>
      <c r="I44" s="40" t="n">
        <v>0</v>
      </c>
      <c r="J44" s="43" t="n">
        <v>44197</v>
      </c>
      <c r="K44" s="66"/>
      <c r="L44" s="44"/>
    </row>
    <row r="45" customFormat="false" ht="12.75" hidden="false" customHeight="false" outlineLevel="0" collapsed="false">
      <c r="A45" s="45" t="s">
        <v>404</v>
      </c>
      <c r="B45" s="29" t="s">
        <v>405</v>
      </c>
      <c r="C45" s="48" t="s">
        <v>188</v>
      </c>
      <c r="D45" s="48" t="s">
        <v>343</v>
      </c>
      <c r="E45" s="48" t="s">
        <v>344</v>
      </c>
      <c r="F45" s="48" t="s">
        <v>189</v>
      </c>
      <c r="G45" s="48" t="s">
        <v>345</v>
      </c>
      <c r="H45" s="48" t="s">
        <v>346</v>
      </c>
      <c r="I45" s="46" t="n">
        <v>0</v>
      </c>
      <c r="J45" s="68" t="n">
        <v>44287</v>
      </c>
      <c r="K45" s="47"/>
      <c r="L45" s="47"/>
    </row>
    <row r="46" s="55" customFormat="true" ht="12.75" hidden="false" customHeight="false" outlineLevel="0" collapsed="false">
      <c r="A46" s="69" t="s">
        <v>406</v>
      </c>
      <c r="B46" s="70" t="n">
        <v>6492312</v>
      </c>
      <c r="C46" s="70" t="s">
        <v>407</v>
      </c>
      <c r="D46" s="71" t="s">
        <v>343</v>
      </c>
      <c r="E46" s="71" t="s">
        <v>344</v>
      </c>
      <c r="F46" s="71" t="s">
        <v>408</v>
      </c>
      <c r="G46" s="71" t="s">
        <v>345</v>
      </c>
      <c r="H46" s="71" t="s">
        <v>346</v>
      </c>
      <c r="I46" s="72" t="n">
        <v>0</v>
      </c>
      <c r="J46" s="73" t="n">
        <v>44896</v>
      </c>
      <c r="K46" s="44"/>
      <c r="L46" s="44"/>
    </row>
    <row r="47" s="32" customFormat="true" ht="12.75" hidden="false" customHeight="false" outlineLevel="0" collapsed="false">
      <c r="A47" s="45" t="s">
        <v>409</v>
      </c>
      <c r="B47" s="45" t="s">
        <v>195</v>
      </c>
      <c r="C47" s="52" t="s">
        <v>196</v>
      </c>
      <c r="D47" s="48" t="s">
        <v>410</v>
      </c>
      <c r="E47" s="48" t="s">
        <v>344</v>
      </c>
      <c r="F47" s="52" t="s">
        <v>190</v>
      </c>
      <c r="G47" s="48" t="s">
        <v>345</v>
      </c>
      <c r="H47" s="48" t="s">
        <v>346</v>
      </c>
      <c r="I47" s="46" t="n">
        <v>0</v>
      </c>
      <c r="J47" s="68" t="n">
        <v>44287</v>
      </c>
      <c r="K47" s="47"/>
      <c r="L47" s="47"/>
    </row>
    <row r="48" customFormat="false" ht="12.75" hidden="false" customHeight="false" outlineLevel="0" collapsed="false">
      <c r="A48" s="39" t="s">
        <v>411</v>
      </c>
      <c r="B48" s="39" t="s">
        <v>199</v>
      </c>
      <c r="C48" s="41" t="s">
        <v>412</v>
      </c>
      <c r="D48" s="41" t="s">
        <v>410</v>
      </c>
      <c r="E48" s="41" t="s">
        <v>344</v>
      </c>
      <c r="F48" s="51" t="s">
        <v>190</v>
      </c>
      <c r="G48" s="41" t="s">
        <v>345</v>
      </c>
      <c r="H48" s="41" t="s">
        <v>413</v>
      </c>
      <c r="I48" s="40" t="n">
        <v>0</v>
      </c>
      <c r="J48" s="74" t="n">
        <v>44317</v>
      </c>
      <c r="K48" s="44"/>
      <c r="L48" s="44"/>
    </row>
    <row r="49" s="32" customFormat="true" ht="12.75" hidden="false" customHeight="false" outlineLevel="0" collapsed="false">
      <c r="A49" s="45" t="s">
        <v>414</v>
      </c>
      <c r="B49" s="52" t="s">
        <v>415</v>
      </c>
      <c r="C49" s="52" t="s">
        <v>204</v>
      </c>
      <c r="D49" s="48" t="s">
        <v>410</v>
      </c>
      <c r="E49" s="48" t="s">
        <v>344</v>
      </c>
      <c r="F49" s="52" t="s">
        <v>178</v>
      </c>
      <c r="G49" s="48" t="s">
        <v>345</v>
      </c>
      <c r="H49" s="48" t="s">
        <v>413</v>
      </c>
      <c r="I49" s="46" t="n">
        <v>0</v>
      </c>
      <c r="J49" s="68" t="n">
        <v>44348</v>
      </c>
      <c r="K49" s="47"/>
      <c r="L49" s="47"/>
    </row>
    <row r="50" customFormat="false" ht="12.75" hidden="false" customHeight="false" outlineLevel="0" collapsed="false">
      <c r="A50" s="39" t="s">
        <v>416</v>
      </c>
      <c r="B50" s="27" t="s">
        <v>207</v>
      </c>
      <c r="C50" s="27" t="s">
        <v>208</v>
      </c>
      <c r="D50" s="41" t="s">
        <v>410</v>
      </c>
      <c r="E50" s="41" t="s">
        <v>344</v>
      </c>
      <c r="F50" s="27" t="s">
        <v>209</v>
      </c>
      <c r="G50" s="41" t="s">
        <v>345</v>
      </c>
      <c r="H50" s="41" t="s">
        <v>346</v>
      </c>
      <c r="I50" s="28" t="n">
        <v>0</v>
      </c>
      <c r="J50" s="28"/>
      <c r="K50" s="44"/>
      <c r="L50" s="44"/>
    </row>
    <row r="51" customFormat="false" ht="12.75" hidden="false" customHeight="false" outlineLevel="0" collapsed="false">
      <c r="A51" s="45" t="s">
        <v>417</v>
      </c>
      <c r="B51" s="59" t="s">
        <v>211</v>
      </c>
      <c r="C51" s="45" t="s">
        <v>212</v>
      </c>
      <c r="D51" s="48" t="s">
        <v>410</v>
      </c>
      <c r="E51" s="48" t="s">
        <v>344</v>
      </c>
      <c r="F51" s="29"/>
      <c r="G51" s="48" t="s">
        <v>345</v>
      </c>
      <c r="H51" s="48" t="s">
        <v>346</v>
      </c>
      <c r="I51" s="30" t="n">
        <v>0</v>
      </c>
      <c r="J51" s="75" t="n">
        <v>44866</v>
      </c>
      <c r="K51" s="47"/>
      <c r="L51" s="47"/>
    </row>
    <row r="52" customFormat="false" ht="12.75" hidden="false" customHeight="false" outlineLevel="0" collapsed="false">
      <c r="A52" s="39" t="s">
        <v>418</v>
      </c>
      <c r="B52" s="60" t="s">
        <v>214</v>
      </c>
      <c r="C52" s="39" t="s">
        <v>215</v>
      </c>
      <c r="D52" s="41" t="s">
        <v>410</v>
      </c>
      <c r="E52" s="41" t="s">
        <v>344</v>
      </c>
      <c r="F52" s="51" t="s">
        <v>419</v>
      </c>
      <c r="G52" s="41" t="s">
        <v>345</v>
      </c>
      <c r="H52" s="41" t="s">
        <v>346</v>
      </c>
      <c r="I52" s="40" t="n">
        <v>0</v>
      </c>
      <c r="J52" s="74" t="n">
        <v>44409</v>
      </c>
      <c r="K52" s="44"/>
      <c r="L52" s="44"/>
    </row>
    <row r="53" customFormat="false" ht="12.75" hidden="false" customHeight="false" outlineLevel="0" collapsed="false">
      <c r="A53" s="29" t="s">
        <v>420</v>
      </c>
      <c r="B53" s="52" t="n">
        <v>20210599743</v>
      </c>
      <c r="C53" s="45" t="s">
        <v>218</v>
      </c>
      <c r="D53" s="48" t="s">
        <v>410</v>
      </c>
      <c r="E53" s="48" t="s">
        <v>344</v>
      </c>
      <c r="F53" s="29" t="s">
        <v>421</v>
      </c>
      <c r="G53" s="48" t="s">
        <v>345</v>
      </c>
      <c r="H53" s="48" t="s">
        <v>346</v>
      </c>
      <c r="I53" s="46" t="n">
        <v>0</v>
      </c>
      <c r="J53" s="68" t="n">
        <v>44409</v>
      </c>
      <c r="K53" s="47"/>
      <c r="L53" s="47"/>
    </row>
    <row r="54" customFormat="false" ht="12.75" hidden="false" customHeight="false" outlineLevel="0" collapsed="false">
      <c r="A54" s="60" t="s">
        <v>422</v>
      </c>
      <c r="B54" s="51" t="n">
        <v>20210599755</v>
      </c>
      <c r="C54" s="60" t="s">
        <v>423</v>
      </c>
      <c r="D54" s="41" t="s">
        <v>410</v>
      </c>
      <c r="E54" s="41" t="s">
        <v>344</v>
      </c>
      <c r="F54" s="60" t="s">
        <v>424</v>
      </c>
      <c r="G54" s="41" t="s">
        <v>345</v>
      </c>
      <c r="H54" s="41" t="s">
        <v>346</v>
      </c>
      <c r="I54" s="40" t="n">
        <v>0</v>
      </c>
      <c r="J54" s="74" t="n">
        <v>44455</v>
      </c>
      <c r="K54" s="44"/>
      <c r="L54" s="44"/>
    </row>
    <row r="55" customFormat="false" ht="12.75" hidden="false" customHeight="false" outlineLevel="0" collapsed="false">
      <c r="A55" s="59" t="s">
        <v>425</v>
      </c>
      <c r="B55" s="52" t="n">
        <v>20210602988</v>
      </c>
      <c r="C55" s="52" t="s">
        <v>224</v>
      </c>
      <c r="D55" s="48" t="s">
        <v>410</v>
      </c>
      <c r="E55" s="48" t="s">
        <v>344</v>
      </c>
      <c r="F55" s="29" t="s">
        <v>426</v>
      </c>
      <c r="G55" s="48" t="s">
        <v>345</v>
      </c>
      <c r="H55" s="48" t="s">
        <v>346</v>
      </c>
      <c r="I55" s="46" t="n">
        <v>0</v>
      </c>
      <c r="J55" s="29"/>
      <c r="K55" s="47"/>
      <c r="L55" s="47"/>
    </row>
    <row r="56" customFormat="false" ht="12.75" hidden="false" customHeight="false" outlineLevel="0" collapsed="false">
      <c r="A56" s="39" t="s">
        <v>427</v>
      </c>
      <c r="B56" s="27" t="s">
        <v>226</v>
      </c>
      <c r="C56" s="51" t="s">
        <v>227</v>
      </c>
      <c r="D56" s="41" t="s">
        <v>410</v>
      </c>
      <c r="E56" s="41" t="s">
        <v>344</v>
      </c>
      <c r="F56" s="51" t="s">
        <v>228</v>
      </c>
      <c r="G56" s="41" t="s">
        <v>345</v>
      </c>
      <c r="H56" s="41" t="s">
        <v>346</v>
      </c>
      <c r="I56" s="28" t="n">
        <v>0</v>
      </c>
      <c r="J56" s="74" t="n">
        <v>44533</v>
      </c>
      <c r="K56" s="44"/>
      <c r="L56" s="44"/>
    </row>
    <row r="57" customFormat="false" ht="12.75" hidden="false" customHeight="false" outlineLevel="0" collapsed="false">
      <c r="A57" s="45" t="s">
        <v>428</v>
      </c>
      <c r="B57" s="29"/>
      <c r="C57" s="52" t="s">
        <v>231</v>
      </c>
      <c r="D57" s="48" t="s">
        <v>410</v>
      </c>
      <c r="E57" s="48" t="s">
        <v>344</v>
      </c>
      <c r="F57" s="29" t="s">
        <v>232</v>
      </c>
      <c r="G57" s="48" t="s">
        <v>345</v>
      </c>
      <c r="H57" s="48" t="s">
        <v>346</v>
      </c>
      <c r="I57" s="30" t="n">
        <v>0</v>
      </c>
      <c r="J57" s="68" t="n">
        <v>44533</v>
      </c>
      <c r="K57" s="47"/>
      <c r="L57" s="47"/>
    </row>
    <row r="58" customFormat="false" ht="12.75" hidden="false" customHeight="false" outlineLevel="0" collapsed="false">
      <c r="A58" s="39" t="s">
        <v>429</v>
      </c>
      <c r="B58" s="27"/>
      <c r="C58" s="27" t="s">
        <v>430</v>
      </c>
      <c r="D58" s="41" t="s">
        <v>410</v>
      </c>
      <c r="E58" s="41" t="s">
        <v>344</v>
      </c>
      <c r="F58" s="27" t="s">
        <v>235</v>
      </c>
      <c r="G58" s="41" t="s">
        <v>345</v>
      </c>
      <c r="H58" s="41" t="s">
        <v>346</v>
      </c>
      <c r="I58" s="28" t="n">
        <v>0</v>
      </c>
      <c r="J58" s="74" t="n">
        <v>44564</v>
      </c>
      <c r="K58" s="44"/>
      <c r="L58" s="44"/>
    </row>
    <row r="59" customFormat="false" ht="12.75" hidden="false" customHeight="false" outlineLevel="0" collapsed="false">
      <c r="A59" s="45" t="s">
        <v>431</v>
      </c>
      <c r="B59" s="29" t="s">
        <v>237</v>
      </c>
      <c r="C59" s="29" t="s">
        <v>432</v>
      </c>
      <c r="D59" s="48" t="s">
        <v>410</v>
      </c>
      <c r="E59" s="48" t="s">
        <v>344</v>
      </c>
      <c r="F59" s="29" t="s">
        <v>433</v>
      </c>
      <c r="G59" s="48" t="s">
        <v>345</v>
      </c>
      <c r="H59" s="48" t="s">
        <v>346</v>
      </c>
      <c r="I59" s="30" t="n">
        <v>0</v>
      </c>
      <c r="J59" s="68" t="n">
        <v>44564</v>
      </c>
      <c r="K59" s="47"/>
      <c r="L59" s="47"/>
    </row>
    <row r="60" customFormat="false" ht="12.75" hidden="false" customHeight="false" outlineLevel="0" collapsed="false">
      <c r="A60" s="39" t="s">
        <v>434</v>
      </c>
      <c r="B60" s="27" t="s">
        <v>241</v>
      </c>
      <c r="C60" s="27" t="s">
        <v>435</v>
      </c>
      <c r="D60" s="41" t="s">
        <v>410</v>
      </c>
      <c r="E60" s="41" t="s">
        <v>344</v>
      </c>
      <c r="F60" s="27" t="s">
        <v>436</v>
      </c>
      <c r="G60" s="41" t="s">
        <v>345</v>
      </c>
      <c r="H60" s="41" t="s">
        <v>346</v>
      </c>
      <c r="I60" s="28" t="n">
        <v>0</v>
      </c>
      <c r="J60" s="74" t="n">
        <v>44595</v>
      </c>
      <c r="K60" s="44"/>
      <c r="L60" s="44"/>
    </row>
    <row r="61" customFormat="false" ht="12.75" hidden="false" customHeight="false" outlineLevel="0" collapsed="false">
      <c r="A61" s="45" t="s">
        <v>437</v>
      </c>
      <c r="B61" s="59" t="s">
        <v>244</v>
      </c>
      <c r="C61" s="29" t="s">
        <v>245</v>
      </c>
      <c r="D61" s="48" t="s">
        <v>410</v>
      </c>
      <c r="E61" s="48" t="s">
        <v>344</v>
      </c>
      <c r="F61" s="52" t="s">
        <v>246</v>
      </c>
      <c r="G61" s="48" t="s">
        <v>345</v>
      </c>
      <c r="H61" s="48" t="s">
        <v>346</v>
      </c>
      <c r="I61" s="30" t="n">
        <v>0</v>
      </c>
      <c r="J61" s="68" t="n">
        <v>44593</v>
      </c>
      <c r="K61" s="47"/>
      <c r="L61" s="47"/>
    </row>
    <row r="62" customFormat="false" ht="12.75" hidden="false" customHeight="false" outlineLevel="0" collapsed="false">
      <c r="A62" s="39" t="s">
        <v>438</v>
      </c>
      <c r="B62" s="27"/>
      <c r="C62" s="27" t="s">
        <v>248</v>
      </c>
      <c r="D62" s="41" t="s">
        <v>410</v>
      </c>
      <c r="E62" s="41" t="s">
        <v>344</v>
      </c>
      <c r="F62" s="51" t="s">
        <v>249</v>
      </c>
      <c r="G62" s="41" t="s">
        <v>345</v>
      </c>
      <c r="H62" s="41" t="s">
        <v>346</v>
      </c>
      <c r="I62" s="28" t="n">
        <v>0</v>
      </c>
      <c r="J62" s="74" t="n">
        <v>44621</v>
      </c>
      <c r="K62" s="44"/>
      <c r="L62" s="44"/>
    </row>
    <row r="63" customFormat="false" ht="12.75" hidden="false" customHeight="false" outlineLevel="0" collapsed="false">
      <c r="A63" s="45" t="s">
        <v>439</v>
      </c>
      <c r="B63" s="29"/>
      <c r="C63" s="48" t="s">
        <v>251</v>
      </c>
      <c r="D63" s="48" t="s">
        <v>410</v>
      </c>
      <c r="E63" s="48" t="s">
        <v>344</v>
      </c>
      <c r="F63" s="52" t="s">
        <v>252</v>
      </c>
      <c r="G63" s="48" t="s">
        <v>345</v>
      </c>
      <c r="H63" s="48" t="s">
        <v>346</v>
      </c>
      <c r="I63" s="30" t="n">
        <v>0</v>
      </c>
      <c r="J63" s="68" t="n">
        <v>44621</v>
      </c>
      <c r="K63" s="47"/>
      <c r="L63" s="47"/>
    </row>
    <row r="64" customFormat="false" ht="12.75" hidden="false" customHeight="false" outlineLevel="0" collapsed="false">
      <c r="A64" s="39" t="s">
        <v>440</v>
      </c>
      <c r="B64" s="27"/>
      <c r="C64" s="51" t="s">
        <v>255</v>
      </c>
      <c r="D64" s="41" t="s">
        <v>410</v>
      </c>
      <c r="E64" s="41" t="s">
        <v>344</v>
      </c>
      <c r="F64" s="51" t="s">
        <v>256</v>
      </c>
      <c r="G64" s="41" t="s">
        <v>345</v>
      </c>
      <c r="H64" s="41" t="s">
        <v>346</v>
      </c>
      <c r="I64" s="28" t="n">
        <v>0</v>
      </c>
      <c r="J64" s="74" t="n">
        <v>44621</v>
      </c>
      <c r="K64" s="44"/>
      <c r="L64" s="44"/>
    </row>
    <row r="65" customFormat="false" ht="12.75" hidden="false" customHeight="false" outlineLevel="0" collapsed="false">
      <c r="A65" s="45" t="s">
        <v>441</v>
      </c>
      <c r="B65" s="29"/>
      <c r="C65" s="52" t="s">
        <v>258</v>
      </c>
      <c r="D65" s="48" t="s">
        <v>410</v>
      </c>
      <c r="E65" s="48" t="s">
        <v>344</v>
      </c>
      <c r="F65" s="52" t="s">
        <v>259</v>
      </c>
      <c r="G65" s="48" t="s">
        <v>345</v>
      </c>
      <c r="H65" s="48" t="s">
        <v>346</v>
      </c>
      <c r="I65" s="30" t="n">
        <v>0</v>
      </c>
      <c r="J65" s="68" t="n">
        <v>44621</v>
      </c>
      <c r="K65" s="47"/>
      <c r="L65" s="47"/>
    </row>
    <row r="66" customFormat="false" ht="12.75" hidden="false" customHeight="false" outlineLevel="0" collapsed="false">
      <c r="A66" s="39" t="s">
        <v>442</v>
      </c>
      <c r="B66" s="27"/>
      <c r="C66" s="51" t="s">
        <v>270</v>
      </c>
      <c r="D66" s="41" t="s">
        <v>410</v>
      </c>
      <c r="E66" s="41" t="s">
        <v>344</v>
      </c>
      <c r="F66" s="51" t="s">
        <v>271</v>
      </c>
      <c r="G66" s="41" t="s">
        <v>345</v>
      </c>
      <c r="H66" s="41" t="s">
        <v>346</v>
      </c>
      <c r="I66" s="28" t="n">
        <v>0</v>
      </c>
      <c r="J66" s="74" t="n">
        <v>44621</v>
      </c>
      <c r="K66" s="44"/>
      <c r="L66" s="44"/>
    </row>
    <row r="67" customFormat="false" ht="12.75" hidden="false" customHeight="false" outlineLevel="0" collapsed="false">
      <c r="A67" s="45" t="s">
        <v>443</v>
      </c>
      <c r="B67" s="29"/>
      <c r="C67" s="52" t="s">
        <v>444</v>
      </c>
      <c r="D67" s="48" t="s">
        <v>410</v>
      </c>
      <c r="E67" s="48" t="s">
        <v>344</v>
      </c>
      <c r="F67" s="29" t="s">
        <v>445</v>
      </c>
      <c r="G67" s="48" t="s">
        <v>345</v>
      </c>
      <c r="H67" s="48" t="s">
        <v>346</v>
      </c>
      <c r="I67" s="30" t="n">
        <v>0</v>
      </c>
      <c r="J67" s="68" t="n">
        <v>44774</v>
      </c>
      <c r="K67" s="47"/>
      <c r="L67" s="47"/>
    </row>
    <row r="68" customFormat="false" ht="12.75" hidden="false" customHeight="false" outlineLevel="0" collapsed="false">
      <c r="A68" s="39" t="s">
        <v>446</v>
      </c>
      <c r="B68" s="27"/>
      <c r="C68" s="27" t="s">
        <v>447</v>
      </c>
      <c r="D68" s="41" t="s">
        <v>410</v>
      </c>
      <c r="E68" s="41" t="s">
        <v>344</v>
      </c>
      <c r="F68" s="27" t="s">
        <v>274</v>
      </c>
      <c r="G68" s="41" t="s">
        <v>345</v>
      </c>
      <c r="H68" s="41" t="s">
        <v>346</v>
      </c>
      <c r="I68" s="28" t="n">
        <v>0</v>
      </c>
      <c r="J68" s="74" t="n">
        <v>44774</v>
      </c>
      <c r="K68" s="44"/>
      <c r="L68" s="44"/>
    </row>
    <row r="69" customFormat="false" ht="12.75" hidden="false" customHeight="false" outlineLevel="0" collapsed="false">
      <c r="A69" s="45" t="s">
        <v>448</v>
      </c>
      <c r="B69" s="29"/>
      <c r="C69" s="29" t="s">
        <v>288</v>
      </c>
      <c r="D69" s="48" t="s">
        <v>410</v>
      </c>
      <c r="E69" s="48" t="s">
        <v>344</v>
      </c>
      <c r="F69" s="29" t="s">
        <v>449</v>
      </c>
      <c r="G69" s="29"/>
      <c r="H69" s="29"/>
      <c r="I69" s="29"/>
      <c r="J69" s="29"/>
      <c r="K69" s="47"/>
      <c r="L69" s="47"/>
    </row>
    <row r="70" customFormat="false" ht="12.75" hidden="false" customHeight="false" outlineLevel="0" collapsed="false">
      <c r="A70" s="39" t="s">
        <v>450</v>
      </c>
      <c r="B70" s="27"/>
      <c r="C70" s="27" t="s">
        <v>451</v>
      </c>
      <c r="D70" s="41" t="s">
        <v>410</v>
      </c>
      <c r="E70" s="41" t="s">
        <v>344</v>
      </c>
      <c r="F70" s="27" t="s">
        <v>262</v>
      </c>
      <c r="G70" s="41" t="s">
        <v>345</v>
      </c>
      <c r="H70" s="41" t="s">
        <v>346</v>
      </c>
      <c r="I70" s="28" t="n">
        <v>0</v>
      </c>
      <c r="J70" s="74" t="n">
        <v>44805</v>
      </c>
      <c r="K70" s="44"/>
      <c r="L70" s="44"/>
    </row>
    <row r="71" customFormat="false" ht="12.75" hidden="false" customHeight="false" outlineLevel="0" collapsed="false">
      <c r="A71" s="45" t="s">
        <v>452</v>
      </c>
      <c r="B71" s="29"/>
      <c r="C71" s="52" t="s">
        <v>453</v>
      </c>
      <c r="D71" s="48" t="s">
        <v>410</v>
      </c>
      <c r="E71" s="48" t="s">
        <v>344</v>
      </c>
      <c r="F71" s="29" t="s">
        <v>454</v>
      </c>
      <c r="G71" s="48" t="s">
        <v>345</v>
      </c>
      <c r="H71" s="48" t="s">
        <v>346</v>
      </c>
      <c r="I71" s="30" t="n">
        <v>0</v>
      </c>
      <c r="J71" s="68" t="n">
        <v>44835</v>
      </c>
      <c r="K71" s="47"/>
      <c r="L71" s="47"/>
    </row>
    <row r="72" customFormat="false" ht="12.75" hidden="false" customHeight="false" outlineLevel="0" collapsed="false">
      <c r="A72" s="39" t="s">
        <v>455</v>
      </c>
      <c r="B72" s="27"/>
      <c r="C72" s="51" t="s">
        <v>282</v>
      </c>
      <c r="D72" s="41" t="s">
        <v>410</v>
      </c>
      <c r="E72" s="41" t="s">
        <v>344</v>
      </c>
      <c r="F72" s="27" t="s">
        <v>283</v>
      </c>
      <c r="G72" s="41" t="s">
        <v>345</v>
      </c>
      <c r="H72" s="41" t="s">
        <v>346</v>
      </c>
      <c r="I72" s="28" t="n">
        <v>0</v>
      </c>
      <c r="J72" s="76" t="n">
        <v>45047</v>
      </c>
      <c r="K72" s="44"/>
      <c r="L72" s="44"/>
    </row>
    <row r="73" customFormat="false" ht="12.75" hidden="false" customHeight="false" outlineLevel="0" collapsed="false">
      <c r="A73" s="45" t="s">
        <v>456</v>
      </c>
      <c r="B73" s="29"/>
      <c r="C73" s="29" t="s">
        <v>264</v>
      </c>
      <c r="D73" s="48" t="s">
        <v>410</v>
      </c>
      <c r="E73" s="48" t="s">
        <v>344</v>
      </c>
      <c r="F73" s="29" t="s">
        <v>265</v>
      </c>
      <c r="G73" s="48" t="s">
        <v>345</v>
      </c>
      <c r="H73" s="48" t="s">
        <v>346</v>
      </c>
      <c r="I73" s="30" t="n">
        <v>0</v>
      </c>
      <c r="J73" s="75" t="n">
        <v>44713</v>
      </c>
      <c r="K73" s="47"/>
      <c r="L73" s="47"/>
    </row>
    <row r="74" customFormat="false" ht="12.75" hidden="false" customHeight="false" outlineLevel="0" collapsed="false">
      <c r="A74" s="39" t="s">
        <v>457</v>
      </c>
      <c r="B74" s="27"/>
      <c r="C74" s="27" t="s">
        <v>280</v>
      </c>
      <c r="D74" s="41" t="s">
        <v>410</v>
      </c>
      <c r="E74" s="41" t="s">
        <v>344</v>
      </c>
      <c r="F74" s="27" t="s">
        <v>458</v>
      </c>
      <c r="G74" s="41" t="s">
        <v>345</v>
      </c>
      <c r="H74" s="41" t="s">
        <v>346</v>
      </c>
      <c r="I74" s="28" t="n">
        <v>0</v>
      </c>
      <c r="J74" s="76" t="n">
        <v>44866</v>
      </c>
      <c r="K74" s="44"/>
      <c r="L74" s="44"/>
    </row>
    <row r="75" customFormat="false" ht="12.75" hidden="false" customHeight="false" outlineLevel="0" collapsed="false">
      <c r="A75" s="45" t="s">
        <v>459</v>
      </c>
      <c r="B75" s="29"/>
      <c r="C75" s="29" t="s">
        <v>460</v>
      </c>
      <c r="D75" s="48" t="s">
        <v>410</v>
      </c>
      <c r="E75" s="48" t="s">
        <v>344</v>
      </c>
      <c r="F75" s="29" t="s">
        <v>461</v>
      </c>
      <c r="G75" s="48" t="s">
        <v>345</v>
      </c>
      <c r="H75" s="48" t="s">
        <v>346</v>
      </c>
      <c r="I75" s="29"/>
      <c r="J75" s="30"/>
      <c r="K75" s="47"/>
      <c r="L75" s="47"/>
    </row>
    <row r="76" customFormat="false" ht="12.75" hidden="false" customHeight="false" outlineLevel="0" collapsed="false">
      <c r="A76" s="39" t="s">
        <v>462</v>
      </c>
      <c r="B76" s="27"/>
      <c r="C76" s="27" t="s">
        <v>304</v>
      </c>
      <c r="D76" s="41" t="s">
        <v>410</v>
      </c>
      <c r="E76" s="41" t="s">
        <v>344</v>
      </c>
      <c r="F76" s="27" t="s">
        <v>463</v>
      </c>
      <c r="G76" s="41" t="s">
        <v>345</v>
      </c>
      <c r="H76" s="41" t="s">
        <v>346</v>
      </c>
      <c r="I76" s="28" t="n">
        <v>0</v>
      </c>
      <c r="J76" s="76" t="n">
        <v>44835</v>
      </c>
      <c r="K76" s="44"/>
      <c r="L76" s="44"/>
    </row>
    <row r="77" customFormat="false" ht="12.75" hidden="false" customHeight="false" outlineLevel="0" collapsed="false">
      <c r="A77" s="45" t="s">
        <v>464</v>
      </c>
      <c r="B77" s="29"/>
      <c r="C77" s="52" t="s">
        <v>313</v>
      </c>
      <c r="D77" s="48" t="s">
        <v>410</v>
      </c>
      <c r="E77" s="48" t="s">
        <v>344</v>
      </c>
      <c r="F77" s="52" t="s">
        <v>314</v>
      </c>
      <c r="G77" s="48" t="s">
        <v>345</v>
      </c>
      <c r="H77" s="48" t="s">
        <v>346</v>
      </c>
      <c r="I77" s="29"/>
      <c r="J77" s="30"/>
      <c r="K77" s="47"/>
      <c r="L77" s="47"/>
    </row>
    <row r="78" customFormat="false" ht="12.75" hidden="false" customHeight="false" outlineLevel="0" collapsed="false">
      <c r="A78" s="39" t="s">
        <v>465</v>
      </c>
      <c r="B78" s="27"/>
      <c r="C78" s="27" t="s">
        <v>466</v>
      </c>
      <c r="D78" s="41" t="s">
        <v>410</v>
      </c>
      <c r="E78" s="41" t="s">
        <v>344</v>
      </c>
      <c r="F78" s="27" t="s">
        <v>467</v>
      </c>
      <c r="G78" s="41" t="s">
        <v>345</v>
      </c>
      <c r="H78" s="41" t="s">
        <v>346</v>
      </c>
      <c r="I78" s="28" t="n">
        <v>0</v>
      </c>
      <c r="J78" s="76" t="n">
        <v>44958</v>
      </c>
      <c r="K78" s="44"/>
      <c r="L78" s="44"/>
    </row>
    <row r="79" customFormat="false" ht="12.75" hidden="false" customHeight="false" outlineLevel="0" collapsed="false">
      <c r="A79" s="45" t="s">
        <v>468</v>
      </c>
      <c r="B79" s="29"/>
      <c r="C79" s="52" t="s">
        <v>319</v>
      </c>
      <c r="D79" s="48" t="s">
        <v>410</v>
      </c>
      <c r="E79" s="48" t="s">
        <v>344</v>
      </c>
      <c r="F79" s="52" t="s">
        <v>320</v>
      </c>
      <c r="G79" s="48" t="s">
        <v>345</v>
      </c>
      <c r="H79" s="48" t="s">
        <v>346</v>
      </c>
      <c r="I79" s="30" t="n">
        <v>0</v>
      </c>
      <c r="J79" s="75" t="n">
        <v>44958</v>
      </c>
      <c r="K79" s="47"/>
      <c r="L79" s="47"/>
    </row>
    <row r="80" customFormat="false" ht="12.75" hidden="false" customHeight="false" outlineLevel="0" collapsed="false">
      <c r="A80" s="39" t="s">
        <v>469</v>
      </c>
      <c r="B80" s="27"/>
      <c r="C80" s="51" t="s">
        <v>322</v>
      </c>
      <c r="D80" s="41" t="s">
        <v>410</v>
      </c>
      <c r="E80" s="41" t="s">
        <v>344</v>
      </c>
      <c r="F80" s="51" t="s">
        <v>323</v>
      </c>
      <c r="G80" s="41" t="s">
        <v>345</v>
      </c>
      <c r="H80" s="41" t="s">
        <v>346</v>
      </c>
      <c r="I80" s="28" t="n">
        <v>0</v>
      </c>
      <c r="J80" s="76" t="n">
        <v>45047</v>
      </c>
      <c r="K80" s="44"/>
      <c r="L80" s="44"/>
    </row>
    <row r="81" customFormat="false" ht="12.75" hidden="false" customHeight="false" outlineLevel="0" collapsed="false">
      <c r="A81" s="45" t="s">
        <v>470</v>
      </c>
      <c r="B81" s="29"/>
      <c r="C81" s="29" t="s">
        <v>471</v>
      </c>
      <c r="D81" s="48" t="s">
        <v>410</v>
      </c>
      <c r="E81" s="48" t="s">
        <v>344</v>
      </c>
      <c r="F81" s="29" t="s">
        <v>472</v>
      </c>
      <c r="G81" s="48" t="s">
        <v>345</v>
      </c>
      <c r="H81" s="48" t="s">
        <v>346</v>
      </c>
      <c r="I81" s="30" t="n">
        <v>0</v>
      </c>
      <c r="J81" s="75" t="n">
        <v>45078</v>
      </c>
      <c r="K81" s="47"/>
      <c r="L81" s="47"/>
    </row>
    <row r="82" customFormat="false" ht="12.75" hidden="false" customHeight="false" outlineLevel="0" collapsed="false">
      <c r="A82" s="39" t="s">
        <v>473</v>
      </c>
      <c r="B82" s="27"/>
      <c r="C82" s="51" t="s">
        <v>325</v>
      </c>
      <c r="D82" s="41" t="s">
        <v>410</v>
      </c>
      <c r="E82" s="41" t="s">
        <v>344</v>
      </c>
      <c r="F82" s="51" t="s">
        <v>326</v>
      </c>
      <c r="G82" s="41" t="s">
        <v>345</v>
      </c>
      <c r="H82" s="41" t="s">
        <v>346</v>
      </c>
      <c r="I82" s="28" t="n">
        <v>0</v>
      </c>
      <c r="J82" s="76" t="n">
        <v>45139</v>
      </c>
      <c r="K82" s="44"/>
      <c r="L82" s="44"/>
    </row>
    <row r="83" customFormat="false" ht="12.75" hidden="false" customHeight="false" outlineLevel="0" collapsed="false">
      <c r="A83" s="45" t="s">
        <v>474</v>
      </c>
      <c r="B83" s="29"/>
      <c r="C83" s="52" t="s">
        <v>110</v>
      </c>
      <c r="D83" s="48" t="s">
        <v>410</v>
      </c>
      <c r="E83" s="48" t="s">
        <v>344</v>
      </c>
      <c r="F83" s="52" t="s">
        <v>111</v>
      </c>
      <c r="G83" s="48" t="s">
        <v>345</v>
      </c>
      <c r="H83" s="48" t="s">
        <v>346</v>
      </c>
      <c r="I83" s="30" t="n">
        <v>0</v>
      </c>
      <c r="J83" s="75" t="n">
        <v>45139</v>
      </c>
      <c r="K83" s="47"/>
      <c r="L83" s="47"/>
    </row>
    <row r="84" customFormat="false" ht="12.75" hidden="false" customHeight="false" outlineLevel="0" collapsed="false">
      <c r="A84" s="39" t="s">
        <v>475</v>
      </c>
      <c r="B84" s="27"/>
      <c r="C84" s="51" t="s">
        <v>328</v>
      </c>
      <c r="D84" s="41" t="s">
        <v>410</v>
      </c>
      <c r="E84" s="41" t="s">
        <v>344</v>
      </c>
      <c r="F84" s="51" t="s">
        <v>329</v>
      </c>
      <c r="G84" s="41" t="s">
        <v>345</v>
      </c>
      <c r="H84" s="41" t="s">
        <v>346</v>
      </c>
      <c r="I84" s="28" t="n">
        <v>0</v>
      </c>
      <c r="J84" s="76" t="n">
        <v>45139</v>
      </c>
      <c r="K84" s="44"/>
      <c r="L84" s="44"/>
    </row>
    <row r="85" customFormat="false" ht="12.75" hidden="false" customHeight="false" outlineLevel="0" collapsed="false">
      <c r="A85" s="45" t="s">
        <v>476</v>
      </c>
      <c r="B85" s="29"/>
      <c r="C85" s="52" t="s">
        <v>331</v>
      </c>
      <c r="D85" s="48" t="s">
        <v>410</v>
      </c>
      <c r="E85" s="48" t="s">
        <v>344</v>
      </c>
      <c r="F85" s="52" t="s">
        <v>332</v>
      </c>
      <c r="G85" s="48" t="s">
        <v>345</v>
      </c>
      <c r="H85" s="48" t="s">
        <v>346</v>
      </c>
      <c r="I85" s="30" t="n">
        <v>0</v>
      </c>
      <c r="J85" s="75" t="n">
        <v>45139</v>
      </c>
      <c r="K85" s="47"/>
      <c r="L85" s="47"/>
    </row>
    <row r="86" customFormat="false" ht="12.75" hidden="false" customHeight="false" outlineLevel="0" collapsed="false">
      <c r="A86" s="39" t="s">
        <v>477</v>
      </c>
      <c r="B86" s="27"/>
      <c r="C86" s="51" t="s">
        <v>334</v>
      </c>
      <c r="D86" s="41" t="s">
        <v>410</v>
      </c>
      <c r="E86" s="41" t="s">
        <v>344</v>
      </c>
      <c r="F86" s="51" t="s">
        <v>335</v>
      </c>
      <c r="G86" s="41" t="s">
        <v>345</v>
      </c>
      <c r="H86" s="41" t="s">
        <v>346</v>
      </c>
      <c r="I86" s="28" t="n">
        <v>0</v>
      </c>
      <c r="J86" s="76" t="n">
        <v>45139</v>
      </c>
      <c r="K86" s="44"/>
      <c r="L86" s="44"/>
    </row>
    <row r="87" customFormat="false" ht="12.75" hidden="false" customHeight="false" outlineLevel="0" collapsed="false">
      <c r="A87" s="45" t="s">
        <v>478</v>
      </c>
      <c r="B87" s="29"/>
      <c r="C87" s="29" t="s">
        <v>336</v>
      </c>
      <c r="D87" s="48" t="s">
        <v>410</v>
      </c>
      <c r="E87" s="48" t="s">
        <v>344</v>
      </c>
      <c r="F87" s="52" t="s">
        <v>337</v>
      </c>
      <c r="G87" s="48" t="s">
        <v>345</v>
      </c>
      <c r="H87" s="48" t="s">
        <v>346</v>
      </c>
      <c r="I87" s="30" t="n">
        <v>1</v>
      </c>
      <c r="J87" s="75" t="n">
        <v>45495</v>
      </c>
      <c r="K87" s="47"/>
      <c r="L87" s="47"/>
    </row>
  </sheetData>
  <autoFilter ref="A3:L87"/>
  <mergeCells count="3">
    <mergeCell ref="A1:B2"/>
    <mergeCell ref="C1:J1"/>
    <mergeCell ref="C2:J2"/>
  </mergeCells>
  <printOptions headings="false" gridLines="false" gridLinesSet="true" horizontalCentered="false" verticalCentered="false"/>
  <pageMargins left="0.3" right="0.3" top="0.400694444444444" bottom="0.4" header="0.315277777777778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&amp;R&amp;"Aptos,Regular"&amp;1 &amp;K008000  Informação Pública /  Public Information#_x005F_x000d_</oddHeader>
    <oddFooter>&amp;R&amp;"Aptos,Regular"&amp;K008000 _x005F_x000d_# J Mendes - Nome: K19-204-FER-LD-001-R01 -Lista de Documentos Rev.03.xlsx Aberto Por: filipe.souza@jmendes.com.br Data: 2026-08-11T10:27:55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JF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3.57"/>
    <col collapsed="false" customWidth="true" hidden="false" outlineLevel="0" max="3" min="3" style="0" width="61.29"/>
    <col collapsed="false" customWidth="true" hidden="false" outlineLevel="0" max="4" min="4" style="0" width="21.43"/>
    <col collapsed="false" customWidth="true" hidden="false" outlineLevel="0" max="5" min="5" style="0" width="24.42"/>
    <col collapsed="false" customWidth="true" hidden="false" outlineLevel="0" max="6" min="6" style="0" width="74"/>
    <col collapsed="false" customWidth="true" hidden="false" outlineLevel="0" max="7" min="7" style="0" width="22.29"/>
    <col collapsed="false" customWidth="true" hidden="false" outlineLevel="0" max="8" min="8" style="0" width="45.43"/>
    <col collapsed="false" customWidth="true" hidden="false" outlineLevel="0" max="9" min="9" style="0" width="7.42"/>
    <col collapsed="false" customWidth="true" hidden="false" outlineLevel="0" max="10" min="10" style="0" width="8.29"/>
    <col collapsed="false" customWidth="true" hidden="false" outlineLevel="0" max="12" min="11" style="0" width="22"/>
  </cols>
  <sheetData>
    <row r="1" customFormat="false" ht="21.75" hidden="false" customHeight="true" outlineLevel="0" collapsed="false">
      <c r="A1" s="33"/>
      <c r="B1" s="33"/>
      <c r="C1" s="34" t="s">
        <v>30</v>
      </c>
      <c r="D1" s="34"/>
      <c r="E1" s="34"/>
      <c r="F1" s="34"/>
      <c r="G1" s="34"/>
      <c r="H1" s="34"/>
      <c r="I1" s="34"/>
      <c r="J1" s="34"/>
    </row>
    <row r="2" customFormat="false" ht="15.75" hidden="false" customHeight="true" outlineLevel="0" collapsed="false">
      <c r="A2" s="33"/>
      <c r="B2" s="33"/>
      <c r="C2" s="35" t="s">
        <v>31</v>
      </c>
      <c r="D2" s="35"/>
      <c r="E2" s="35"/>
      <c r="F2" s="35"/>
      <c r="G2" s="35"/>
      <c r="H2" s="35"/>
      <c r="I2" s="35"/>
      <c r="J2" s="35"/>
    </row>
    <row r="3" customFormat="false" ht="30" hidden="false" customHeight="true" outlineLevel="0" collapsed="false">
      <c r="A3" s="37" t="s">
        <v>33</v>
      </c>
      <c r="B3" s="37" t="s">
        <v>34</v>
      </c>
      <c r="C3" s="37" t="s">
        <v>35</v>
      </c>
      <c r="D3" s="37" t="s">
        <v>36</v>
      </c>
      <c r="E3" s="37" t="s">
        <v>37</v>
      </c>
      <c r="F3" s="37" t="s">
        <v>339</v>
      </c>
      <c r="G3" s="37" t="s">
        <v>340</v>
      </c>
      <c r="H3" s="37" t="s">
        <v>341</v>
      </c>
      <c r="I3" s="37" t="s">
        <v>40</v>
      </c>
      <c r="J3" s="37" t="s">
        <v>41</v>
      </c>
      <c r="K3" s="38" t="s">
        <v>42</v>
      </c>
      <c r="L3" s="38" t="s">
        <v>43</v>
      </c>
    </row>
    <row r="4" customFormat="false" ht="12.75" hidden="false" customHeight="false" outlineLevel="0" collapsed="false">
      <c r="A4" s="39" t="s">
        <v>479</v>
      </c>
      <c r="B4" s="41" t="n">
        <v>6140344</v>
      </c>
      <c r="C4" s="41" t="s">
        <v>45</v>
      </c>
      <c r="D4" s="41" t="s">
        <v>343</v>
      </c>
      <c r="E4" s="41" t="s">
        <v>344</v>
      </c>
      <c r="F4" s="41" t="s">
        <v>47</v>
      </c>
      <c r="G4" s="41" t="s">
        <v>345</v>
      </c>
      <c r="H4" s="41" t="s">
        <v>480</v>
      </c>
      <c r="I4" s="42" t="n">
        <v>0</v>
      </c>
      <c r="J4" s="43" t="n">
        <v>44075</v>
      </c>
      <c r="K4" s="44"/>
      <c r="L4" s="44"/>
    </row>
    <row r="5" customFormat="false" ht="12.75" hidden="false" customHeight="false" outlineLevel="0" collapsed="false">
      <c r="A5" s="45" t="s">
        <v>481</v>
      </c>
      <c r="B5" s="46"/>
      <c r="C5" s="47" t="s">
        <v>50</v>
      </c>
      <c r="D5" s="48" t="s">
        <v>343</v>
      </c>
      <c r="E5" s="48" t="s">
        <v>344</v>
      </c>
      <c r="F5" s="48" t="s">
        <v>51</v>
      </c>
      <c r="G5" s="48" t="s">
        <v>345</v>
      </c>
      <c r="H5" s="48" t="s">
        <v>480</v>
      </c>
      <c r="I5" s="46" t="n">
        <v>0</v>
      </c>
      <c r="J5" s="49" t="n">
        <v>44075</v>
      </c>
      <c r="K5" s="47"/>
      <c r="L5" s="47"/>
    </row>
    <row r="6" customFormat="false" ht="12.75" hidden="false" customHeight="false" outlineLevel="0" collapsed="false">
      <c r="A6" s="39" t="s">
        <v>482</v>
      </c>
      <c r="B6" s="42"/>
      <c r="C6" s="41" t="s">
        <v>483</v>
      </c>
      <c r="D6" s="41" t="s">
        <v>343</v>
      </c>
      <c r="E6" s="41" t="s">
        <v>344</v>
      </c>
      <c r="F6" s="41" t="s">
        <v>54</v>
      </c>
      <c r="G6" s="41" t="s">
        <v>345</v>
      </c>
      <c r="H6" s="41" t="s">
        <v>480</v>
      </c>
      <c r="I6" s="40" t="n">
        <v>0</v>
      </c>
      <c r="J6" s="43" t="n">
        <v>44075</v>
      </c>
      <c r="K6" s="44"/>
      <c r="L6" s="44"/>
    </row>
    <row r="7" customFormat="false" ht="12.75" hidden="false" customHeight="false" outlineLevel="0" collapsed="false">
      <c r="A7" s="45" t="s">
        <v>484</v>
      </c>
      <c r="B7" s="50"/>
      <c r="C7" s="48" t="s">
        <v>57</v>
      </c>
      <c r="D7" s="48" t="s">
        <v>343</v>
      </c>
      <c r="E7" s="48" t="s">
        <v>344</v>
      </c>
      <c r="F7" s="48" t="s">
        <v>58</v>
      </c>
      <c r="G7" s="48" t="s">
        <v>345</v>
      </c>
      <c r="H7" s="48" t="s">
        <v>480</v>
      </c>
      <c r="I7" s="50" t="n">
        <v>0</v>
      </c>
      <c r="J7" s="49" t="n">
        <v>44075</v>
      </c>
      <c r="K7" s="47"/>
      <c r="L7" s="47"/>
    </row>
    <row r="8" customFormat="false" ht="12.75" hidden="false" customHeight="false" outlineLevel="0" collapsed="false">
      <c r="A8" s="39" t="s">
        <v>485</v>
      </c>
      <c r="B8" s="42"/>
      <c r="C8" s="41" t="s">
        <v>60</v>
      </c>
      <c r="D8" s="41" t="s">
        <v>343</v>
      </c>
      <c r="E8" s="41" t="s">
        <v>344</v>
      </c>
      <c r="F8" s="41" t="s">
        <v>61</v>
      </c>
      <c r="G8" s="41" t="s">
        <v>345</v>
      </c>
      <c r="H8" s="41" t="s">
        <v>480</v>
      </c>
      <c r="I8" s="42" t="n">
        <v>0</v>
      </c>
      <c r="J8" s="43" t="n">
        <v>44075</v>
      </c>
      <c r="K8" s="44"/>
      <c r="L8" s="44"/>
    </row>
    <row r="9" customFormat="false" ht="12.75" hidden="false" customHeight="false" outlineLevel="0" collapsed="false">
      <c r="A9" s="45" t="s">
        <v>486</v>
      </c>
      <c r="B9" s="50"/>
      <c r="C9" s="48" t="s">
        <v>63</v>
      </c>
      <c r="D9" s="48" t="s">
        <v>343</v>
      </c>
      <c r="E9" s="48" t="s">
        <v>344</v>
      </c>
      <c r="F9" s="48" t="s">
        <v>64</v>
      </c>
      <c r="G9" s="48" t="s">
        <v>345</v>
      </c>
      <c r="H9" s="48" t="s">
        <v>480</v>
      </c>
      <c r="I9" s="46" t="n">
        <v>0</v>
      </c>
      <c r="J9" s="49" t="n">
        <v>44075</v>
      </c>
      <c r="K9" s="47"/>
      <c r="L9" s="47"/>
    </row>
    <row r="10" customFormat="false" ht="12.75" hidden="false" customHeight="false" outlineLevel="0" collapsed="false">
      <c r="A10" s="39" t="s">
        <v>487</v>
      </c>
      <c r="B10" s="42"/>
      <c r="C10" s="41" t="s">
        <v>488</v>
      </c>
      <c r="D10" s="41" t="s">
        <v>343</v>
      </c>
      <c r="E10" s="41" t="s">
        <v>344</v>
      </c>
      <c r="F10" s="41" t="s">
        <v>489</v>
      </c>
      <c r="G10" s="41" t="s">
        <v>345</v>
      </c>
      <c r="H10" s="41" t="s">
        <v>480</v>
      </c>
      <c r="I10" s="40" t="n">
        <v>0</v>
      </c>
      <c r="J10" s="43" t="n">
        <v>44075</v>
      </c>
      <c r="K10" s="44"/>
      <c r="L10" s="44"/>
    </row>
    <row r="11" customFormat="false" ht="12.75" hidden="false" customHeight="false" outlineLevel="0" collapsed="false">
      <c r="A11" s="45" t="s">
        <v>490</v>
      </c>
      <c r="B11" s="50"/>
      <c r="C11" s="48" t="s">
        <v>491</v>
      </c>
      <c r="D11" s="48" t="s">
        <v>343</v>
      </c>
      <c r="E11" s="48" t="s">
        <v>344</v>
      </c>
      <c r="F11" s="48" t="s">
        <v>492</v>
      </c>
      <c r="G11" s="48" t="s">
        <v>345</v>
      </c>
      <c r="H11" s="48" t="s">
        <v>480</v>
      </c>
      <c r="I11" s="46" t="n">
        <v>0</v>
      </c>
      <c r="J11" s="49" t="n">
        <v>44075</v>
      </c>
      <c r="K11" s="47"/>
      <c r="L11" s="47"/>
    </row>
    <row r="12" customFormat="false" ht="12.75" hidden="false" customHeight="false" outlineLevel="0" collapsed="false">
      <c r="A12" s="39" t="s">
        <v>493</v>
      </c>
      <c r="B12" s="42"/>
      <c r="C12" s="41" t="s">
        <v>494</v>
      </c>
      <c r="D12" s="41" t="s">
        <v>343</v>
      </c>
      <c r="E12" s="41" t="s">
        <v>344</v>
      </c>
      <c r="F12" s="41" t="s">
        <v>495</v>
      </c>
      <c r="G12" s="41" t="s">
        <v>345</v>
      </c>
      <c r="H12" s="41" t="s">
        <v>480</v>
      </c>
      <c r="I12" s="40" t="n">
        <v>0</v>
      </c>
      <c r="J12" s="43" t="n">
        <v>44075</v>
      </c>
      <c r="K12" s="44"/>
      <c r="L12" s="44"/>
    </row>
    <row r="13" customFormat="false" ht="12.75" hidden="false" customHeight="false" outlineLevel="0" collapsed="false">
      <c r="A13" s="45" t="s">
        <v>496</v>
      </c>
      <c r="B13" s="46"/>
      <c r="C13" s="47" t="s">
        <v>78</v>
      </c>
      <c r="D13" s="48" t="s">
        <v>343</v>
      </c>
      <c r="E13" s="48" t="s">
        <v>344</v>
      </c>
      <c r="F13" s="48" t="s">
        <v>79</v>
      </c>
      <c r="G13" s="48" t="s">
        <v>345</v>
      </c>
      <c r="H13" s="48" t="s">
        <v>480</v>
      </c>
      <c r="I13" s="46" t="n">
        <v>0</v>
      </c>
      <c r="J13" s="49" t="n">
        <v>44075</v>
      </c>
      <c r="K13" s="47"/>
      <c r="L13" s="47"/>
    </row>
    <row r="14" customFormat="false" ht="12.75" hidden="false" customHeight="false" outlineLevel="0" collapsed="false">
      <c r="A14" s="39" t="s">
        <v>497</v>
      </c>
      <c r="B14" s="40"/>
      <c r="C14" s="44" t="s">
        <v>498</v>
      </c>
      <c r="D14" s="41" t="s">
        <v>343</v>
      </c>
      <c r="E14" s="41" t="s">
        <v>344</v>
      </c>
      <c r="F14" s="41" t="s">
        <v>82</v>
      </c>
      <c r="G14" s="41" t="s">
        <v>345</v>
      </c>
      <c r="H14" s="41" t="s">
        <v>480</v>
      </c>
      <c r="I14" s="40" t="n">
        <v>0</v>
      </c>
      <c r="J14" s="43" t="n">
        <v>44075</v>
      </c>
      <c r="K14" s="44"/>
      <c r="L14" s="44"/>
    </row>
    <row r="15" customFormat="false" ht="12.75" hidden="false" customHeight="false" outlineLevel="0" collapsed="false">
      <c r="A15" s="45" t="s">
        <v>499</v>
      </c>
      <c r="B15" s="46"/>
      <c r="C15" s="47" t="s">
        <v>85</v>
      </c>
      <c r="D15" s="48" t="s">
        <v>343</v>
      </c>
      <c r="E15" s="48" t="s">
        <v>344</v>
      </c>
      <c r="F15" s="48" t="s">
        <v>86</v>
      </c>
      <c r="G15" s="48" t="s">
        <v>345</v>
      </c>
      <c r="H15" s="48" t="s">
        <v>480</v>
      </c>
      <c r="I15" s="46" t="n">
        <v>0</v>
      </c>
      <c r="J15" s="49" t="n">
        <v>44075</v>
      </c>
      <c r="K15" s="47"/>
      <c r="L15" s="47"/>
    </row>
    <row r="16" customFormat="false" ht="12.75" hidden="false" customHeight="false" outlineLevel="0" collapsed="false">
      <c r="A16" s="39" t="s">
        <v>500</v>
      </c>
      <c r="B16" s="51"/>
      <c r="C16" s="44" t="s">
        <v>501</v>
      </c>
      <c r="D16" s="41" t="s">
        <v>343</v>
      </c>
      <c r="E16" s="41" t="s">
        <v>344</v>
      </c>
      <c r="F16" s="41" t="s">
        <v>502</v>
      </c>
      <c r="G16" s="41" t="s">
        <v>345</v>
      </c>
      <c r="H16" s="41" t="s">
        <v>480</v>
      </c>
      <c r="I16" s="40" t="n">
        <v>0</v>
      </c>
      <c r="J16" s="43" t="n">
        <v>44075</v>
      </c>
      <c r="K16" s="44"/>
      <c r="L16" s="44"/>
    </row>
    <row r="17" customFormat="false" ht="12.75" hidden="false" customHeight="false" outlineLevel="0" collapsed="false">
      <c r="A17" s="45" t="s">
        <v>503</v>
      </c>
      <c r="B17" s="52"/>
      <c r="C17" s="47" t="s">
        <v>504</v>
      </c>
      <c r="D17" s="48" t="s">
        <v>343</v>
      </c>
      <c r="E17" s="48" t="s">
        <v>344</v>
      </c>
      <c r="F17" s="48" t="s">
        <v>505</v>
      </c>
      <c r="G17" s="48" t="s">
        <v>345</v>
      </c>
      <c r="H17" s="48" t="s">
        <v>480</v>
      </c>
      <c r="I17" s="46" t="n">
        <v>0</v>
      </c>
      <c r="J17" s="49" t="n">
        <v>44075</v>
      </c>
      <c r="K17" s="47"/>
      <c r="L17" s="47"/>
    </row>
    <row r="18" customFormat="false" ht="12.75" hidden="false" customHeight="false" outlineLevel="0" collapsed="false">
      <c r="A18" s="39" t="s">
        <v>506</v>
      </c>
      <c r="B18" s="51"/>
      <c r="C18" s="44" t="s">
        <v>507</v>
      </c>
      <c r="D18" s="41" t="s">
        <v>343</v>
      </c>
      <c r="E18" s="41" t="s">
        <v>344</v>
      </c>
      <c r="F18" s="41" t="s">
        <v>508</v>
      </c>
      <c r="G18" s="41" t="s">
        <v>345</v>
      </c>
      <c r="H18" s="41" t="s">
        <v>480</v>
      </c>
      <c r="I18" s="40" t="n">
        <v>0</v>
      </c>
      <c r="J18" s="43" t="n">
        <v>44075</v>
      </c>
      <c r="K18" s="44"/>
      <c r="L18" s="44"/>
    </row>
    <row r="19" customFormat="false" ht="12.75" hidden="false" customHeight="false" outlineLevel="0" collapsed="false">
      <c r="A19" s="45" t="s">
        <v>509</v>
      </c>
      <c r="B19" s="52"/>
      <c r="C19" s="47" t="s">
        <v>97</v>
      </c>
      <c r="D19" s="48" t="s">
        <v>343</v>
      </c>
      <c r="E19" s="48" t="s">
        <v>344</v>
      </c>
      <c r="F19" s="48" t="s">
        <v>98</v>
      </c>
      <c r="G19" s="48" t="s">
        <v>345</v>
      </c>
      <c r="H19" s="48" t="s">
        <v>480</v>
      </c>
      <c r="I19" s="46" t="n">
        <v>0</v>
      </c>
      <c r="J19" s="49" t="n">
        <v>44075</v>
      </c>
      <c r="K19" s="47"/>
      <c r="L19" s="47"/>
    </row>
    <row r="20" customFormat="false" ht="12.75" hidden="false" customHeight="false" outlineLevel="0" collapsed="false">
      <c r="A20" s="39" t="s">
        <v>510</v>
      </c>
      <c r="B20" s="51"/>
      <c r="C20" s="44" t="s">
        <v>100</v>
      </c>
      <c r="D20" s="41" t="s">
        <v>343</v>
      </c>
      <c r="E20" s="41" t="s">
        <v>344</v>
      </c>
      <c r="F20" s="41" t="s">
        <v>101</v>
      </c>
      <c r="G20" s="41" t="s">
        <v>345</v>
      </c>
      <c r="H20" s="41" t="s">
        <v>480</v>
      </c>
      <c r="I20" s="40" t="n">
        <v>0</v>
      </c>
      <c r="J20" s="43" t="n">
        <v>44075</v>
      </c>
      <c r="K20" s="44"/>
      <c r="L20" s="44"/>
    </row>
    <row r="21" customFormat="false" ht="12.75" hidden="false" customHeight="false" outlineLevel="0" collapsed="false">
      <c r="A21" s="45" t="s">
        <v>511</v>
      </c>
      <c r="B21" s="52"/>
      <c r="C21" s="47" t="s">
        <v>512</v>
      </c>
      <c r="D21" s="48" t="s">
        <v>343</v>
      </c>
      <c r="E21" s="48" t="s">
        <v>344</v>
      </c>
      <c r="F21" s="48" t="s">
        <v>513</v>
      </c>
      <c r="G21" s="48" t="s">
        <v>345</v>
      </c>
      <c r="H21" s="48" t="s">
        <v>480</v>
      </c>
      <c r="I21" s="46" t="n">
        <v>0</v>
      </c>
      <c r="J21" s="49" t="n">
        <v>44075</v>
      </c>
      <c r="K21" s="47"/>
      <c r="L21" s="47"/>
    </row>
    <row r="22" customFormat="false" ht="12.75" hidden="false" customHeight="false" outlineLevel="0" collapsed="false">
      <c r="A22" s="39" t="s">
        <v>514</v>
      </c>
      <c r="B22" s="51"/>
      <c r="C22" s="44" t="s">
        <v>515</v>
      </c>
      <c r="D22" s="41" t="s">
        <v>343</v>
      </c>
      <c r="E22" s="41" t="s">
        <v>344</v>
      </c>
      <c r="F22" s="41" t="s">
        <v>516</v>
      </c>
      <c r="G22" s="41" t="s">
        <v>345</v>
      </c>
      <c r="H22" s="41" t="s">
        <v>480</v>
      </c>
      <c r="I22" s="40" t="n">
        <v>0</v>
      </c>
      <c r="J22" s="43" t="n">
        <v>44075</v>
      </c>
      <c r="K22" s="44"/>
      <c r="L22" s="44"/>
    </row>
    <row r="23" customFormat="false" ht="12.75" hidden="false" customHeight="false" outlineLevel="0" collapsed="false">
      <c r="A23" s="45" t="s">
        <v>517</v>
      </c>
      <c r="B23" s="52"/>
      <c r="C23" s="47" t="s">
        <v>110</v>
      </c>
      <c r="D23" s="48" t="s">
        <v>343</v>
      </c>
      <c r="E23" s="48" t="s">
        <v>344</v>
      </c>
      <c r="F23" s="48" t="s">
        <v>111</v>
      </c>
      <c r="G23" s="48" t="s">
        <v>345</v>
      </c>
      <c r="H23" s="48" t="s">
        <v>480</v>
      </c>
      <c r="I23" s="46" t="n">
        <v>0</v>
      </c>
      <c r="J23" s="49" t="n">
        <v>44075</v>
      </c>
      <c r="K23" s="47"/>
      <c r="L23" s="47"/>
    </row>
    <row r="24" customFormat="false" ht="12.75" hidden="false" customHeight="false" outlineLevel="0" collapsed="false">
      <c r="A24" s="39" t="s">
        <v>518</v>
      </c>
      <c r="B24" s="39" t="s">
        <v>113</v>
      </c>
      <c r="C24" s="44" t="s">
        <v>519</v>
      </c>
      <c r="D24" s="41" t="s">
        <v>343</v>
      </c>
      <c r="E24" s="41" t="s">
        <v>344</v>
      </c>
      <c r="F24" s="41" t="s">
        <v>520</v>
      </c>
      <c r="G24" s="41" t="s">
        <v>345</v>
      </c>
      <c r="H24" s="41" t="s">
        <v>480</v>
      </c>
      <c r="I24" s="40" t="n">
        <v>1</v>
      </c>
      <c r="J24" s="43" t="n">
        <v>44136</v>
      </c>
      <c r="K24" s="44"/>
      <c r="L24" s="44"/>
    </row>
    <row r="25" customFormat="false" ht="12.75" hidden="false" customHeight="false" outlineLevel="0" collapsed="false">
      <c r="A25" s="45" t="s">
        <v>521</v>
      </c>
      <c r="B25" s="52"/>
      <c r="C25" s="47" t="s">
        <v>118</v>
      </c>
      <c r="D25" s="48" t="s">
        <v>343</v>
      </c>
      <c r="E25" s="48" t="s">
        <v>344</v>
      </c>
      <c r="F25" s="48" t="s">
        <v>119</v>
      </c>
      <c r="G25" s="48" t="s">
        <v>345</v>
      </c>
      <c r="H25" s="48" t="s">
        <v>480</v>
      </c>
      <c r="I25" s="46" t="n">
        <v>1</v>
      </c>
      <c r="J25" s="49" t="n">
        <v>44136</v>
      </c>
      <c r="K25" s="47"/>
      <c r="L25" s="47"/>
    </row>
    <row r="26" customFormat="false" ht="12.75" hidden="false" customHeight="false" outlineLevel="0" collapsed="false">
      <c r="A26" s="39" t="s">
        <v>522</v>
      </c>
      <c r="B26" s="39" t="s">
        <v>121</v>
      </c>
      <c r="C26" s="44" t="s">
        <v>122</v>
      </c>
      <c r="D26" s="41" t="s">
        <v>343</v>
      </c>
      <c r="E26" s="41" t="s">
        <v>344</v>
      </c>
      <c r="F26" s="41" t="s">
        <v>123</v>
      </c>
      <c r="G26" s="41" t="s">
        <v>345</v>
      </c>
      <c r="H26" s="41" t="s">
        <v>480</v>
      </c>
      <c r="I26" s="40" t="n">
        <v>1</v>
      </c>
      <c r="J26" s="43" t="n">
        <v>44136</v>
      </c>
      <c r="K26" s="44"/>
      <c r="L26" s="44"/>
    </row>
    <row r="27" customFormat="false" ht="12.75" hidden="false" customHeight="false" outlineLevel="0" collapsed="false">
      <c r="A27" s="45" t="s">
        <v>523</v>
      </c>
      <c r="B27" s="52"/>
      <c r="C27" s="47" t="s">
        <v>125</v>
      </c>
      <c r="D27" s="48" t="s">
        <v>343</v>
      </c>
      <c r="E27" s="48" t="s">
        <v>344</v>
      </c>
      <c r="F27" s="48" t="s">
        <v>126</v>
      </c>
      <c r="G27" s="48" t="s">
        <v>345</v>
      </c>
      <c r="H27" s="48" t="s">
        <v>480</v>
      </c>
      <c r="I27" s="46" t="n">
        <v>1</v>
      </c>
      <c r="J27" s="49" t="n">
        <v>44136</v>
      </c>
      <c r="K27" s="47"/>
      <c r="L27" s="47"/>
    </row>
    <row r="28" customFormat="false" ht="12.75" hidden="false" customHeight="false" outlineLevel="0" collapsed="false">
      <c r="A28" s="39" t="s">
        <v>524</v>
      </c>
      <c r="B28" s="51"/>
      <c r="C28" s="44" t="s">
        <v>128</v>
      </c>
      <c r="D28" s="41" t="s">
        <v>343</v>
      </c>
      <c r="E28" s="41" t="s">
        <v>344</v>
      </c>
      <c r="F28" s="41" t="s">
        <v>129</v>
      </c>
      <c r="G28" s="41" t="s">
        <v>345</v>
      </c>
      <c r="H28" s="41" t="s">
        <v>480</v>
      </c>
      <c r="I28" s="40" t="n">
        <v>1</v>
      </c>
      <c r="J28" s="43" t="n">
        <v>44136</v>
      </c>
      <c r="K28" s="44"/>
      <c r="L28" s="44"/>
    </row>
    <row r="29" customFormat="false" ht="12.75" hidden="false" customHeight="false" outlineLevel="0" collapsed="false">
      <c r="A29" s="45" t="s">
        <v>525</v>
      </c>
      <c r="B29" s="52"/>
      <c r="C29" s="47" t="s">
        <v>131</v>
      </c>
      <c r="D29" s="48" t="s">
        <v>343</v>
      </c>
      <c r="E29" s="48" t="s">
        <v>344</v>
      </c>
      <c r="F29" s="48" t="s">
        <v>132</v>
      </c>
      <c r="G29" s="48" t="s">
        <v>345</v>
      </c>
      <c r="H29" s="48" t="s">
        <v>480</v>
      </c>
      <c r="I29" s="46" t="n">
        <v>1</v>
      </c>
      <c r="J29" s="49" t="n">
        <v>44136</v>
      </c>
      <c r="K29" s="47"/>
      <c r="L29" s="47"/>
    </row>
    <row r="30" customFormat="false" ht="12.75" hidden="false" customHeight="false" outlineLevel="0" collapsed="false">
      <c r="A30" s="39" t="s">
        <v>526</v>
      </c>
      <c r="B30" s="51"/>
      <c r="C30" s="44" t="s">
        <v>134</v>
      </c>
      <c r="D30" s="41" t="s">
        <v>343</v>
      </c>
      <c r="E30" s="41" t="s">
        <v>344</v>
      </c>
      <c r="F30" s="41" t="s">
        <v>135</v>
      </c>
      <c r="G30" s="41" t="s">
        <v>345</v>
      </c>
      <c r="H30" s="41" t="s">
        <v>480</v>
      </c>
      <c r="I30" s="40" t="n">
        <v>0</v>
      </c>
      <c r="J30" s="43" t="n">
        <v>44136</v>
      </c>
      <c r="K30" s="44"/>
      <c r="L30" s="44"/>
    </row>
    <row r="31" customFormat="false" ht="12.75" hidden="false" customHeight="false" outlineLevel="0" collapsed="false">
      <c r="A31" s="45" t="s">
        <v>527</v>
      </c>
      <c r="B31" s="52"/>
      <c r="C31" s="47" t="s">
        <v>137</v>
      </c>
      <c r="D31" s="48" t="s">
        <v>343</v>
      </c>
      <c r="E31" s="48" t="s">
        <v>344</v>
      </c>
      <c r="F31" s="48" t="s">
        <v>138</v>
      </c>
      <c r="G31" s="48" t="s">
        <v>345</v>
      </c>
      <c r="H31" s="48" t="s">
        <v>480</v>
      </c>
      <c r="I31" s="46" t="n">
        <v>0</v>
      </c>
      <c r="J31" s="49" t="n">
        <v>44136</v>
      </c>
      <c r="K31" s="47"/>
      <c r="L31" s="47"/>
    </row>
    <row r="32" customFormat="false" ht="12.75" hidden="false" customHeight="false" outlineLevel="0" collapsed="false">
      <c r="A32" s="39" t="s">
        <v>528</v>
      </c>
      <c r="B32" s="51"/>
      <c r="C32" s="44" t="s">
        <v>384</v>
      </c>
      <c r="D32" s="41" t="s">
        <v>343</v>
      </c>
      <c r="E32" s="41" t="s">
        <v>344</v>
      </c>
      <c r="F32" s="41" t="s">
        <v>385</v>
      </c>
      <c r="G32" s="41" t="s">
        <v>345</v>
      </c>
      <c r="H32" s="41" t="s">
        <v>480</v>
      </c>
      <c r="I32" s="40" t="n">
        <v>0</v>
      </c>
      <c r="J32" s="43" t="n">
        <v>44136</v>
      </c>
      <c r="K32" s="44"/>
      <c r="L32" s="44"/>
    </row>
    <row r="33" customFormat="false" ht="12.75" hidden="false" customHeight="false" outlineLevel="0" collapsed="false">
      <c r="A33" s="45" t="s">
        <v>529</v>
      </c>
      <c r="B33" s="52"/>
      <c r="C33" s="47" t="s">
        <v>144</v>
      </c>
      <c r="D33" s="48" t="s">
        <v>343</v>
      </c>
      <c r="E33" s="48" t="s">
        <v>344</v>
      </c>
      <c r="F33" s="48" t="s">
        <v>145</v>
      </c>
      <c r="G33" s="48" t="s">
        <v>345</v>
      </c>
      <c r="H33" s="48" t="s">
        <v>480</v>
      </c>
      <c r="I33" s="46" t="n">
        <v>0</v>
      </c>
      <c r="J33" s="49" t="n">
        <v>44136</v>
      </c>
      <c r="K33" s="47"/>
      <c r="L33" s="47"/>
    </row>
    <row r="34" customFormat="false" ht="12.75" hidden="false" customHeight="false" outlineLevel="0" collapsed="false">
      <c r="A34" s="39" t="s">
        <v>530</v>
      </c>
      <c r="B34" s="51"/>
      <c r="C34" s="44" t="s">
        <v>147</v>
      </c>
      <c r="D34" s="41" t="s">
        <v>343</v>
      </c>
      <c r="E34" s="41" t="s">
        <v>344</v>
      </c>
      <c r="F34" s="41" t="s">
        <v>148</v>
      </c>
      <c r="G34" s="41" t="s">
        <v>345</v>
      </c>
      <c r="H34" s="41" t="s">
        <v>480</v>
      </c>
      <c r="I34" s="40" t="n">
        <v>0</v>
      </c>
      <c r="J34" s="43" t="n">
        <v>44136</v>
      </c>
      <c r="K34" s="44"/>
      <c r="L34" s="44"/>
    </row>
    <row r="35" customFormat="false" ht="12.75" hidden="false" customHeight="false" outlineLevel="0" collapsed="false">
      <c r="A35" s="45" t="s">
        <v>531</v>
      </c>
      <c r="B35" s="52"/>
      <c r="C35" s="47" t="s">
        <v>150</v>
      </c>
      <c r="D35" s="48" t="s">
        <v>343</v>
      </c>
      <c r="E35" s="48" t="s">
        <v>344</v>
      </c>
      <c r="F35" s="48" t="s">
        <v>151</v>
      </c>
      <c r="G35" s="48" t="s">
        <v>345</v>
      </c>
      <c r="H35" s="48" t="s">
        <v>480</v>
      </c>
      <c r="I35" s="46" t="n">
        <v>1</v>
      </c>
      <c r="J35" s="49" t="n">
        <v>44136</v>
      </c>
      <c r="K35" s="47"/>
      <c r="L35" s="47"/>
    </row>
    <row r="36" customFormat="false" ht="12.75" hidden="false" customHeight="false" outlineLevel="0" collapsed="false">
      <c r="A36" s="39" t="s">
        <v>532</v>
      </c>
      <c r="B36" s="70"/>
      <c r="C36" s="41" t="s">
        <v>154</v>
      </c>
      <c r="D36" s="41" t="s">
        <v>343</v>
      </c>
      <c r="E36" s="41" t="s">
        <v>344</v>
      </c>
      <c r="F36" s="41" t="s">
        <v>155</v>
      </c>
      <c r="G36" s="41" t="s">
        <v>345</v>
      </c>
      <c r="H36" s="41" t="s">
        <v>480</v>
      </c>
      <c r="I36" s="40" t="n">
        <v>1</v>
      </c>
      <c r="J36" s="43" t="n">
        <v>44136</v>
      </c>
      <c r="K36" s="44"/>
      <c r="L36" s="44"/>
    </row>
    <row r="37" customFormat="false" ht="12.75" hidden="false" customHeight="false" outlineLevel="0" collapsed="false">
      <c r="A37" s="45" t="s">
        <v>533</v>
      </c>
      <c r="B37" s="52"/>
      <c r="C37" s="47" t="s">
        <v>157</v>
      </c>
      <c r="D37" s="48" t="s">
        <v>343</v>
      </c>
      <c r="E37" s="48" t="s">
        <v>344</v>
      </c>
      <c r="F37" s="48" t="s">
        <v>158</v>
      </c>
      <c r="G37" s="48" t="s">
        <v>345</v>
      </c>
      <c r="H37" s="48" t="s">
        <v>480</v>
      </c>
      <c r="I37" s="46" t="n">
        <v>0</v>
      </c>
      <c r="J37" s="49" t="n">
        <v>44136</v>
      </c>
      <c r="K37" s="47"/>
      <c r="L37" s="47"/>
    </row>
    <row r="38" customFormat="false" ht="12.75" hidden="false" customHeight="false" outlineLevel="0" collapsed="false">
      <c r="A38" s="39" t="s">
        <v>534</v>
      </c>
      <c r="B38" s="51"/>
      <c r="C38" s="44" t="s">
        <v>160</v>
      </c>
      <c r="D38" s="41" t="s">
        <v>343</v>
      </c>
      <c r="E38" s="41" t="s">
        <v>344</v>
      </c>
      <c r="F38" s="41" t="s">
        <v>392</v>
      </c>
      <c r="G38" s="41" t="s">
        <v>345</v>
      </c>
      <c r="H38" s="41" t="s">
        <v>480</v>
      </c>
      <c r="I38" s="40" t="n">
        <v>1</v>
      </c>
      <c r="J38" s="43" t="n">
        <v>44136</v>
      </c>
      <c r="K38" s="44"/>
      <c r="L38" s="44"/>
    </row>
    <row r="39" customFormat="false" ht="12.75" hidden="false" customHeight="false" outlineLevel="0" collapsed="false">
      <c r="A39" s="45" t="s">
        <v>535</v>
      </c>
      <c r="B39" s="52" t="n">
        <v>20210369268</v>
      </c>
      <c r="C39" s="47" t="s">
        <v>394</v>
      </c>
      <c r="D39" s="48" t="s">
        <v>343</v>
      </c>
      <c r="E39" s="48" t="s">
        <v>344</v>
      </c>
      <c r="F39" s="48" t="s">
        <v>395</v>
      </c>
      <c r="G39" s="48" t="s">
        <v>345</v>
      </c>
      <c r="H39" s="48" t="s">
        <v>480</v>
      </c>
      <c r="I39" s="46" t="n">
        <v>1</v>
      </c>
      <c r="J39" s="49" t="n">
        <v>44136</v>
      </c>
      <c r="K39" s="47"/>
      <c r="L39" s="47"/>
    </row>
    <row r="40" s="78" customFormat="true" ht="12.75" hidden="false" customHeight="false" outlineLevel="0" collapsed="false">
      <c r="A40" s="39" t="s">
        <v>536</v>
      </c>
      <c r="B40" s="51" t="s">
        <v>397</v>
      </c>
      <c r="C40" s="44" t="s">
        <v>167</v>
      </c>
      <c r="D40" s="41" t="s">
        <v>410</v>
      </c>
      <c r="E40" s="41" t="s">
        <v>344</v>
      </c>
      <c r="F40" s="41"/>
      <c r="G40" s="41"/>
      <c r="H40" s="41"/>
      <c r="I40" s="40"/>
      <c r="J40" s="77"/>
      <c r="K40" s="44"/>
      <c r="L40" s="44"/>
    </row>
    <row r="41" s="78" customFormat="true" ht="12.75" hidden="false" customHeight="false" outlineLevel="0" collapsed="false">
      <c r="A41" s="45" t="s">
        <v>537</v>
      </c>
      <c r="B41" s="45" t="s">
        <v>171</v>
      </c>
      <c r="C41" s="47" t="s">
        <v>172</v>
      </c>
      <c r="D41" s="48" t="s">
        <v>343</v>
      </c>
      <c r="E41" s="48" t="s">
        <v>344</v>
      </c>
      <c r="F41" s="48" t="s">
        <v>173</v>
      </c>
      <c r="G41" s="48" t="s">
        <v>345</v>
      </c>
      <c r="H41" s="48" t="s">
        <v>480</v>
      </c>
      <c r="I41" s="46" t="n">
        <v>0</v>
      </c>
      <c r="J41" s="54" t="n">
        <v>44136</v>
      </c>
      <c r="K41" s="47"/>
      <c r="L41" s="47"/>
    </row>
    <row r="42" s="78" customFormat="true" ht="12.75" hidden="false" customHeight="false" outlineLevel="0" collapsed="false">
      <c r="A42" s="39" t="s">
        <v>538</v>
      </c>
      <c r="B42" s="39" t="s">
        <v>175</v>
      </c>
      <c r="C42" s="44" t="s">
        <v>176</v>
      </c>
      <c r="D42" s="41" t="s">
        <v>343</v>
      </c>
      <c r="E42" s="41" t="s">
        <v>344</v>
      </c>
      <c r="F42" s="41" t="s">
        <v>177</v>
      </c>
      <c r="G42" s="41" t="s">
        <v>345</v>
      </c>
      <c r="H42" s="41" t="s">
        <v>480</v>
      </c>
      <c r="I42" s="40" t="n">
        <v>0</v>
      </c>
      <c r="J42" s="77" t="n">
        <v>44136</v>
      </c>
      <c r="K42" s="44"/>
      <c r="L42" s="44"/>
    </row>
    <row r="43" s="78" customFormat="true" ht="12.75" hidden="false" customHeight="false" outlineLevel="0" collapsed="false">
      <c r="A43" s="45" t="s">
        <v>539</v>
      </c>
      <c r="B43" s="52" t="s">
        <v>401</v>
      </c>
      <c r="C43" s="47" t="s">
        <v>540</v>
      </c>
      <c r="D43" s="48" t="s">
        <v>343</v>
      </c>
      <c r="E43" s="48" t="s">
        <v>344</v>
      </c>
      <c r="F43" s="48" t="s">
        <v>163</v>
      </c>
      <c r="G43" s="48" t="s">
        <v>345</v>
      </c>
      <c r="H43" s="48" t="s">
        <v>480</v>
      </c>
      <c r="I43" s="46" t="n">
        <v>0</v>
      </c>
      <c r="J43" s="54" t="n">
        <v>44166</v>
      </c>
      <c r="K43" s="47"/>
      <c r="L43" s="47"/>
    </row>
    <row r="44" customFormat="false" ht="12.75" hidden="false" customHeight="false" outlineLevel="0" collapsed="false">
      <c r="A44" s="39" t="s">
        <v>541</v>
      </c>
      <c r="B44" s="39" t="s">
        <v>183</v>
      </c>
      <c r="C44" s="41" t="s">
        <v>184</v>
      </c>
      <c r="D44" s="41" t="s">
        <v>343</v>
      </c>
      <c r="E44" s="41" t="s">
        <v>344</v>
      </c>
      <c r="F44" s="41" t="s">
        <v>185</v>
      </c>
      <c r="G44" s="41" t="s">
        <v>345</v>
      </c>
      <c r="H44" s="41" t="s">
        <v>480</v>
      </c>
      <c r="I44" s="40" t="n">
        <v>0</v>
      </c>
      <c r="J44" s="77" t="n">
        <v>44197</v>
      </c>
      <c r="K44" s="44"/>
      <c r="L44" s="44"/>
    </row>
    <row r="45" customFormat="false" ht="12.75" hidden="false" customHeight="false" outlineLevel="0" collapsed="false">
      <c r="A45" s="45" t="s">
        <v>542</v>
      </c>
      <c r="B45" s="52" t="s">
        <v>405</v>
      </c>
      <c r="C45" s="48" t="s">
        <v>188</v>
      </c>
      <c r="D45" s="48" t="s">
        <v>343</v>
      </c>
      <c r="E45" s="48" t="s">
        <v>344</v>
      </c>
      <c r="F45" s="48" t="s">
        <v>543</v>
      </c>
      <c r="G45" s="48" t="s">
        <v>345</v>
      </c>
      <c r="H45" s="48" t="s">
        <v>480</v>
      </c>
      <c r="I45" s="46" t="n">
        <v>0</v>
      </c>
      <c r="J45" s="29"/>
      <c r="K45" s="47"/>
      <c r="L45" s="47"/>
    </row>
    <row r="46" s="55" customFormat="true" ht="12.75" hidden="false" customHeight="false" outlineLevel="0" collapsed="false">
      <c r="A46" s="39" t="s">
        <v>544</v>
      </c>
      <c r="B46" s="51" t="n">
        <v>6492312</v>
      </c>
      <c r="C46" s="51" t="s">
        <v>545</v>
      </c>
      <c r="D46" s="41" t="s">
        <v>343</v>
      </c>
      <c r="E46" s="41" t="s">
        <v>344</v>
      </c>
      <c r="F46" s="51" t="s">
        <v>546</v>
      </c>
      <c r="G46" s="41" t="s">
        <v>345</v>
      </c>
      <c r="H46" s="41" t="s">
        <v>480</v>
      </c>
      <c r="I46" s="40" t="n">
        <v>0</v>
      </c>
      <c r="J46" s="77" t="n">
        <v>44409</v>
      </c>
      <c r="K46" s="44"/>
      <c r="L46" s="44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</row>
    <row r="47" s="32" customFormat="true" ht="12.75" hidden="false" customHeight="false" outlineLevel="0" collapsed="false">
      <c r="A47" s="45" t="s">
        <v>547</v>
      </c>
      <c r="B47" s="45" t="s">
        <v>195</v>
      </c>
      <c r="C47" s="52" t="s">
        <v>548</v>
      </c>
      <c r="D47" s="48" t="s">
        <v>343</v>
      </c>
      <c r="E47" s="48" t="s">
        <v>344</v>
      </c>
      <c r="F47" s="52" t="s">
        <v>197</v>
      </c>
      <c r="G47" s="48" t="s">
        <v>345</v>
      </c>
      <c r="H47" s="48" t="s">
        <v>480</v>
      </c>
      <c r="I47" s="52"/>
      <c r="J47" s="54" t="n">
        <v>44317</v>
      </c>
      <c r="K47" s="47"/>
      <c r="L47" s="47"/>
    </row>
    <row r="48" s="55" customFormat="true" ht="12.75" hidden="false" customHeight="false" outlineLevel="0" collapsed="false">
      <c r="A48" s="39" t="s">
        <v>549</v>
      </c>
      <c r="B48" s="39" t="s">
        <v>199</v>
      </c>
      <c r="C48" s="51" t="s">
        <v>412</v>
      </c>
      <c r="D48" s="41" t="s">
        <v>343</v>
      </c>
      <c r="E48" s="41" t="s">
        <v>344</v>
      </c>
      <c r="F48" s="51" t="s">
        <v>550</v>
      </c>
      <c r="G48" s="41" t="s">
        <v>345</v>
      </c>
      <c r="H48" s="41" t="s">
        <v>480</v>
      </c>
      <c r="I48" s="40" t="n">
        <v>0</v>
      </c>
      <c r="J48" s="77" t="n">
        <v>44317</v>
      </c>
      <c r="K48" s="44"/>
      <c r="L48" s="44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  <c r="IX48" s="32"/>
      <c r="IY48" s="32"/>
      <c r="IZ48" s="32"/>
      <c r="JA48" s="32"/>
      <c r="JB48" s="32"/>
      <c r="JC48" s="32"/>
      <c r="JD48" s="32"/>
      <c r="JE48" s="32"/>
      <c r="JF48" s="32"/>
    </row>
    <row r="49" s="32" customFormat="true" ht="12.75" hidden="false" customHeight="false" outlineLevel="0" collapsed="false">
      <c r="A49" s="48" t="s">
        <v>551</v>
      </c>
      <c r="B49" s="52" t="s">
        <v>415</v>
      </c>
      <c r="C49" s="52" t="s">
        <v>204</v>
      </c>
      <c r="D49" s="48" t="s">
        <v>410</v>
      </c>
      <c r="E49" s="48" t="s">
        <v>344</v>
      </c>
      <c r="F49" s="52" t="s">
        <v>205</v>
      </c>
      <c r="G49" s="48" t="s">
        <v>345</v>
      </c>
      <c r="H49" s="48" t="s">
        <v>480</v>
      </c>
      <c r="I49" s="46" t="n">
        <v>0</v>
      </c>
      <c r="J49" s="54" t="n">
        <v>44317</v>
      </c>
      <c r="K49" s="47"/>
      <c r="L49" s="47"/>
    </row>
    <row r="50" s="32" customFormat="true" ht="12.75" hidden="false" customHeight="false" outlineLevel="0" collapsed="false">
      <c r="A50" s="39" t="s">
        <v>552</v>
      </c>
      <c r="B50" s="51" t="s">
        <v>207</v>
      </c>
      <c r="C50" s="27" t="s">
        <v>208</v>
      </c>
      <c r="D50" s="41" t="s">
        <v>410</v>
      </c>
      <c r="E50" s="41" t="s">
        <v>344</v>
      </c>
      <c r="F50" s="39" t="s">
        <v>209</v>
      </c>
      <c r="G50" s="41" t="s">
        <v>345</v>
      </c>
      <c r="H50" s="41" t="s">
        <v>480</v>
      </c>
      <c r="I50" s="40"/>
      <c r="J50" s="77"/>
      <c r="K50" s="44"/>
      <c r="L50" s="44"/>
    </row>
    <row r="51" s="32" customFormat="true" ht="12.75" hidden="false" customHeight="false" outlineLevel="0" collapsed="false">
      <c r="A51" s="45" t="s">
        <v>553</v>
      </c>
      <c r="B51" s="59" t="s">
        <v>211</v>
      </c>
      <c r="C51" s="52" t="s">
        <v>212</v>
      </c>
      <c r="D51" s="48" t="s">
        <v>410</v>
      </c>
      <c r="E51" s="48" t="s">
        <v>344</v>
      </c>
      <c r="F51" s="45" t="s">
        <v>554</v>
      </c>
      <c r="G51" s="48" t="s">
        <v>345</v>
      </c>
      <c r="H51" s="48" t="s">
        <v>480</v>
      </c>
      <c r="I51" s="46"/>
      <c r="J51" s="54"/>
      <c r="K51" s="47"/>
      <c r="L51" s="47"/>
    </row>
    <row r="52" s="32" customFormat="true" ht="12.75" hidden="false" customHeight="false" outlineLevel="0" collapsed="false">
      <c r="A52" s="39" t="s">
        <v>555</v>
      </c>
      <c r="B52" s="60" t="s">
        <v>214</v>
      </c>
      <c r="C52" s="51" t="s">
        <v>215</v>
      </c>
      <c r="D52" s="41" t="s">
        <v>410</v>
      </c>
      <c r="E52" s="41" t="s">
        <v>344</v>
      </c>
      <c r="F52" s="39" t="s">
        <v>216</v>
      </c>
      <c r="G52" s="41" t="s">
        <v>345</v>
      </c>
      <c r="H52" s="41" t="s">
        <v>480</v>
      </c>
      <c r="I52" s="40"/>
      <c r="J52" s="77" t="n">
        <v>44317</v>
      </c>
      <c r="K52" s="44"/>
      <c r="L52" s="44"/>
    </row>
    <row r="53" s="32" customFormat="true" ht="12.75" hidden="false" customHeight="false" outlineLevel="0" collapsed="false">
      <c r="A53" s="45" t="s">
        <v>556</v>
      </c>
      <c r="B53" s="52" t="n">
        <v>20210599743</v>
      </c>
      <c r="C53" s="52" t="s">
        <v>557</v>
      </c>
      <c r="D53" s="48" t="s">
        <v>410</v>
      </c>
      <c r="E53" s="48" t="s">
        <v>344</v>
      </c>
      <c r="F53" s="52" t="s">
        <v>558</v>
      </c>
      <c r="G53" s="48" t="s">
        <v>345</v>
      </c>
      <c r="H53" s="48" t="s">
        <v>480</v>
      </c>
      <c r="I53" s="46" t="n">
        <v>0</v>
      </c>
      <c r="J53" s="54" t="n">
        <v>44317</v>
      </c>
      <c r="K53" s="47"/>
      <c r="L53" s="47"/>
    </row>
    <row r="54" s="32" customFormat="true" ht="12.75" hidden="false" customHeight="false" outlineLevel="0" collapsed="false">
      <c r="A54" s="39" t="s">
        <v>559</v>
      </c>
      <c r="B54" s="51" t="n">
        <v>20210599755</v>
      </c>
      <c r="C54" s="39" t="s">
        <v>423</v>
      </c>
      <c r="D54" s="41" t="s">
        <v>410</v>
      </c>
      <c r="E54" s="41" t="s">
        <v>344</v>
      </c>
      <c r="F54" s="39" t="s">
        <v>222</v>
      </c>
      <c r="G54" s="41" t="s">
        <v>345</v>
      </c>
      <c r="H54" s="41" t="s">
        <v>480</v>
      </c>
      <c r="I54" s="40" t="n">
        <v>0</v>
      </c>
      <c r="J54" s="77" t="n">
        <v>44456</v>
      </c>
      <c r="K54" s="44"/>
      <c r="L54" s="44"/>
    </row>
    <row r="55" s="32" customFormat="true" ht="12.75" hidden="false" customHeight="false" outlineLevel="0" collapsed="false">
      <c r="A55" s="45" t="s">
        <v>560</v>
      </c>
      <c r="B55" s="52" t="n">
        <v>20210602988</v>
      </c>
      <c r="C55" s="52" t="s">
        <v>224</v>
      </c>
      <c r="D55" s="48" t="s">
        <v>410</v>
      </c>
      <c r="E55" s="48" t="s">
        <v>344</v>
      </c>
      <c r="F55" s="52"/>
      <c r="G55" s="48"/>
      <c r="H55" s="48"/>
      <c r="I55" s="46"/>
      <c r="J55" s="54"/>
      <c r="K55" s="47"/>
      <c r="L55" s="47"/>
    </row>
    <row r="56" customFormat="false" ht="12.75" hidden="false" customHeight="false" outlineLevel="0" collapsed="false">
      <c r="A56" s="39" t="s">
        <v>561</v>
      </c>
      <c r="B56" s="27" t="s">
        <v>226</v>
      </c>
      <c r="C56" s="51" t="s">
        <v>227</v>
      </c>
      <c r="D56" s="41" t="s">
        <v>410</v>
      </c>
      <c r="E56" s="41" t="s">
        <v>344</v>
      </c>
      <c r="F56" s="51" t="s">
        <v>228</v>
      </c>
      <c r="G56" s="41" t="s">
        <v>345</v>
      </c>
      <c r="H56" s="41" t="s">
        <v>480</v>
      </c>
      <c r="I56" s="40" t="n">
        <v>0</v>
      </c>
      <c r="J56" s="74" t="n">
        <v>44533</v>
      </c>
      <c r="K56" s="44"/>
      <c r="L56" s="44"/>
    </row>
    <row r="57" customFormat="false" ht="12.75" hidden="false" customHeight="false" outlineLevel="0" collapsed="false">
      <c r="A57" s="45" t="s">
        <v>562</v>
      </c>
      <c r="B57" s="29"/>
      <c r="C57" s="52" t="s">
        <v>231</v>
      </c>
      <c r="D57" s="48" t="s">
        <v>410</v>
      </c>
      <c r="E57" s="48" t="s">
        <v>344</v>
      </c>
      <c r="F57" s="52" t="s">
        <v>232</v>
      </c>
      <c r="G57" s="48" t="s">
        <v>345</v>
      </c>
      <c r="H57" s="48" t="s">
        <v>480</v>
      </c>
      <c r="I57" s="46" t="n">
        <v>0</v>
      </c>
      <c r="J57" s="68" t="n">
        <v>44533</v>
      </c>
      <c r="K57" s="47"/>
      <c r="L57" s="47"/>
    </row>
    <row r="58" customFormat="false" ht="12.75" hidden="false" customHeight="false" outlineLevel="0" collapsed="false">
      <c r="A58" s="39" t="s">
        <v>563</v>
      </c>
      <c r="B58" s="27"/>
      <c r="C58" s="51" t="s">
        <v>564</v>
      </c>
      <c r="D58" s="41" t="s">
        <v>410</v>
      </c>
      <c r="E58" s="41" t="s">
        <v>344</v>
      </c>
      <c r="F58" s="51" t="s">
        <v>235</v>
      </c>
      <c r="G58" s="41" t="s">
        <v>345</v>
      </c>
      <c r="H58" s="41" t="s">
        <v>480</v>
      </c>
      <c r="I58" s="40" t="n">
        <v>0</v>
      </c>
      <c r="J58" s="74" t="n">
        <v>44564</v>
      </c>
      <c r="K58" s="44"/>
      <c r="L58" s="44"/>
    </row>
    <row r="59" customFormat="false" ht="12.75" hidden="false" customHeight="false" outlineLevel="0" collapsed="false">
      <c r="A59" s="45" t="s">
        <v>565</v>
      </c>
      <c r="B59" s="29" t="s">
        <v>237</v>
      </c>
      <c r="C59" s="29" t="s">
        <v>432</v>
      </c>
      <c r="D59" s="48" t="s">
        <v>410</v>
      </c>
      <c r="E59" s="48" t="s">
        <v>344</v>
      </c>
      <c r="F59" s="29" t="s">
        <v>433</v>
      </c>
      <c r="G59" s="48" t="s">
        <v>345</v>
      </c>
      <c r="H59" s="48" t="s">
        <v>480</v>
      </c>
      <c r="I59" s="46" t="n">
        <v>0</v>
      </c>
      <c r="J59" s="68" t="n">
        <v>44564</v>
      </c>
      <c r="K59" s="47"/>
      <c r="L59" s="47"/>
    </row>
    <row r="60" customFormat="false" ht="12.75" hidden="false" customHeight="false" outlineLevel="0" collapsed="false">
      <c r="A60" s="39" t="s">
        <v>566</v>
      </c>
      <c r="B60" s="27" t="s">
        <v>241</v>
      </c>
      <c r="C60" s="27" t="s">
        <v>435</v>
      </c>
      <c r="D60" s="41" t="s">
        <v>410</v>
      </c>
      <c r="E60" s="41" t="s">
        <v>344</v>
      </c>
      <c r="F60" s="27" t="s">
        <v>436</v>
      </c>
      <c r="G60" s="41" t="s">
        <v>345</v>
      </c>
      <c r="H60" s="41" t="s">
        <v>480</v>
      </c>
      <c r="I60" s="40" t="n">
        <v>0</v>
      </c>
      <c r="J60" s="74" t="n">
        <v>44595</v>
      </c>
      <c r="K60" s="44"/>
      <c r="L60" s="44"/>
    </row>
    <row r="61" customFormat="false" ht="12.75" hidden="false" customHeight="false" outlineLevel="0" collapsed="false">
      <c r="A61" s="45" t="s">
        <v>567</v>
      </c>
      <c r="B61" s="59" t="s">
        <v>244</v>
      </c>
      <c r="C61" s="29" t="s">
        <v>245</v>
      </c>
      <c r="D61" s="48" t="s">
        <v>410</v>
      </c>
      <c r="E61" s="48" t="s">
        <v>344</v>
      </c>
      <c r="F61" s="52" t="s">
        <v>246</v>
      </c>
      <c r="G61" s="48" t="s">
        <v>345</v>
      </c>
      <c r="H61" s="48" t="s">
        <v>480</v>
      </c>
      <c r="I61" s="46" t="n">
        <v>0</v>
      </c>
      <c r="J61" s="68" t="n">
        <v>44623</v>
      </c>
      <c r="K61" s="47"/>
      <c r="L61" s="47"/>
    </row>
    <row r="62" customFormat="false" ht="12.75" hidden="false" customHeight="false" outlineLevel="0" collapsed="false">
      <c r="A62" s="39" t="s">
        <v>568</v>
      </c>
      <c r="B62" s="27"/>
      <c r="C62" s="27" t="s">
        <v>248</v>
      </c>
      <c r="D62" s="41" t="s">
        <v>410</v>
      </c>
      <c r="E62" s="41" t="s">
        <v>344</v>
      </c>
      <c r="F62" s="51" t="s">
        <v>249</v>
      </c>
      <c r="G62" s="41" t="s">
        <v>345</v>
      </c>
      <c r="H62" s="41" t="s">
        <v>480</v>
      </c>
      <c r="I62" s="40" t="n">
        <v>0</v>
      </c>
      <c r="J62" s="74" t="n">
        <v>44630</v>
      </c>
      <c r="K62" s="44"/>
      <c r="L62" s="44"/>
    </row>
    <row r="63" customFormat="false" ht="12.75" hidden="false" customHeight="false" outlineLevel="0" collapsed="false">
      <c r="A63" s="45" t="s">
        <v>569</v>
      </c>
      <c r="B63" s="29"/>
      <c r="C63" s="48" t="s">
        <v>251</v>
      </c>
      <c r="D63" s="48" t="s">
        <v>410</v>
      </c>
      <c r="E63" s="48" t="s">
        <v>344</v>
      </c>
      <c r="F63" s="52" t="s">
        <v>252</v>
      </c>
      <c r="G63" s="48" t="s">
        <v>345</v>
      </c>
      <c r="H63" s="48" t="s">
        <v>480</v>
      </c>
      <c r="I63" s="46" t="n">
        <v>0</v>
      </c>
      <c r="J63" s="68" t="n">
        <v>44630</v>
      </c>
      <c r="K63" s="47"/>
      <c r="L63" s="47"/>
    </row>
    <row r="64" customFormat="false" ht="12.75" hidden="false" customHeight="false" outlineLevel="0" collapsed="false">
      <c r="A64" s="39" t="s">
        <v>570</v>
      </c>
      <c r="B64" s="27"/>
      <c r="C64" s="51" t="s">
        <v>255</v>
      </c>
      <c r="D64" s="41" t="s">
        <v>410</v>
      </c>
      <c r="E64" s="41" t="s">
        <v>344</v>
      </c>
      <c r="F64" s="51" t="s">
        <v>256</v>
      </c>
      <c r="G64" s="41" t="s">
        <v>345</v>
      </c>
      <c r="H64" s="41" t="s">
        <v>480</v>
      </c>
      <c r="I64" s="40" t="n">
        <v>0</v>
      </c>
      <c r="J64" s="74" t="n">
        <v>44630</v>
      </c>
      <c r="K64" s="44"/>
      <c r="L64" s="44"/>
    </row>
    <row r="65" customFormat="false" ht="12.75" hidden="false" customHeight="false" outlineLevel="0" collapsed="false">
      <c r="A65" s="45" t="s">
        <v>571</v>
      </c>
      <c r="B65" s="29"/>
      <c r="C65" s="52" t="s">
        <v>258</v>
      </c>
      <c r="D65" s="48" t="s">
        <v>410</v>
      </c>
      <c r="E65" s="48" t="s">
        <v>344</v>
      </c>
      <c r="F65" s="52" t="s">
        <v>259</v>
      </c>
      <c r="G65" s="48" t="s">
        <v>345</v>
      </c>
      <c r="H65" s="48" t="s">
        <v>480</v>
      </c>
      <c r="I65" s="46" t="n">
        <v>0</v>
      </c>
      <c r="J65" s="68" t="n">
        <v>44630</v>
      </c>
      <c r="K65" s="47"/>
      <c r="L65" s="47"/>
    </row>
    <row r="66" customFormat="false" ht="12.75" hidden="false" customHeight="false" outlineLevel="0" collapsed="false">
      <c r="A66" s="39" t="s">
        <v>572</v>
      </c>
      <c r="B66" s="51"/>
      <c r="C66" s="44" t="s">
        <v>573</v>
      </c>
      <c r="D66" s="41" t="s">
        <v>343</v>
      </c>
      <c r="E66" s="41" t="s">
        <v>344</v>
      </c>
      <c r="F66" s="41" t="s">
        <v>574</v>
      </c>
      <c r="G66" s="27"/>
      <c r="H66" s="27"/>
      <c r="I66" s="27"/>
      <c r="J66" s="27"/>
      <c r="K66" s="44"/>
      <c r="L66" s="44"/>
    </row>
    <row r="67" customFormat="false" ht="12.75" hidden="false" customHeight="false" outlineLevel="0" collapsed="false">
      <c r="A67" s="45" t="s">
        <v>572</v>
      </c>
      <c r="B67" s="52"/>
      <c r="C67" s="47" t="s">
        <v>575</v>
      </c>
      <c r="D67" s="48" t="s">
        <v>343</v>
      </c>
      <c r="E67" s="48" t="s">
        <v>344</v>
      </c>
      <c r="F67" s="48" t="s">
        <v>574</v>
      </c>
      <c r="G67" s="29"/>
      <c r="H67" s="29"/>
      <c r="I67" s="29"/>
      <c r="J67" s="29"/>
      <c r="K67" s="47"/>
      <c r="L67" s="47"/>
    </row>
    <row r="68" customFormat="false" ht="12.75" hidden="false" customHeight="false" outlineLevel="0" collapsed="false">
      <c r="A68" s="39" t="s">
        <v>576</v>
      </c>
      <c r="B68" s="27"/>
      <c r="C68" s="51" t="s">
        <v>270</v>
      </c>
      <c r="D68" s="41" t="s">
        <v>410</v>
      </c>
      <c r="E68" s="41" t="s">
        <v>344</v>
      </c>
      <c r="F68" s="51" t="s">
        <v>271</v>
      </c>
      <c r="G68" s="41" t="s">
        <v>345</v>
      </c>
      <c r="H68" s="41" t="s">
        <v>480</v>
      </c>
      <c r="I68" s="40" t="n">
        <v>0</v>
      </c>
      <c r="J68" s="74" t="n">
        <v>44682</v>
      </c>
      <c r="K68" s="44"/>
      <c r="L68" s="44"/>
    </row>
    <row r="69" customFormat="false" ht="12.75" hidden="false" customHeight="false" outlineLevel="0" collapsed="false">
      <c r="A69" s="45" t="s">
        <v>577</v>
      </c>
      <c r="B69" s="29"/>
      <c r="C69" s="52" t="s">
        <v>578</v>
      </c>
      <c r="D69" s="48" t="s">
        <v>410</v>
      </c>
      <c r="E69" s="48" t="s">
        <v>344</v>
      </c>
      <c r="F69" s="29" t="s">
        <v>274</v>
      </c>
      <c r="G69" s="48" t="s">
        <v>345</v>
      </c>
      <c r="H69" s="48" t="s">
        <v>480</v>
      </c>
      <c r="I69" s="46" t="n">
        <v>0</v>
      </c>
      <c r="J69" s="68" t="n">
        <v>44774</v>
      </c>
      <c r="K69" s="47"/>
      <c r="L69" s="47"/>
    </row>
    <row r="70" customFormat="false" ht="12.75" hidden="false" customHeight="false" outlineLevel="0" collapsed="false">
      <c r="A70" s="39" t="s">
        <v>579</v>
      </c>
      <c r="B70" s="27"/>
      <c r="C70" s="27" t="s">
        <v>447</v>
      </c>
      <c r="D70" s="41" t="s">
        <v>410</v>
      </c>
      <c r="E70" s="41" t="s">
        <v>344</v>
      </c>
      <c r="F70" s="27"/>
      <c r="G70" s="41" t="s">
        <v>345</v>
      </c>
      <c r="H70" s="41" t="s">
        <v>480</v>
      </c>
      <c r="I70" s="40" t="n">
        <v>0</v>
      </c>
      <c r="J70" s="74" t="n">
        <v>44774</v>
      </c>
      <c r="K70" s="44"/>
      <c r="L70" s="44"/>
    </row>
    <row r="71" customFormat="false" ht="12.75" hidden="false" customHeight="false" outlineLevel="0" collapsed="false">
      <c r="A71" s="45" t="s">
        <v>580</v>
      </c>
      <c r="B71" s="29"/>
      <c r="C71" s="29" t="s">
        <v>288</v>
      </c>
      <c r="D71" s="48" t="s">
        <v>410</v>
      </c>
      <c r="E71" s="48" t="s">
        <v>344</v>
      </c>
      <c r="F71" s="29" t="s">
        <v>449</v>
      </c>
      <c r="G71" s="29"/>
      <c r="H71" s="29"/>
      <c r="I71" s="29"/>
      <c r="J71" s="29"/>
      <c r="K71" s="47"/>
      <c r="L71" s="47"/>
    </row>
    <row r="72" customFormat="false" ht="12.75" hidden="false" customHeight="false" outlineLevel="0" collapsed="false">
      <c r="A72" s="39" t="s">
        <v>581</v>
      </c>
      <c r="B72" s="27"/>
      <c r="C72" s="27" t="s">
        <v>451</v>
      </c>
      <c r="D72" s="41" t="s">
        <v>410</v>
      </c>
      <c r="E72" s="41" t="s">
        <v>344</v>
      </c>
      <c r="F72" s="27" t="s">
        <v>262</v>
      </c>
      <c r="G72" s="41" t="s">
        <v>345</v>
      </c>
      <c r="H72" s="41" t="s">
        <v>480</v>
      </c>
      <c r="I72" s="40" t="n">
        <v>0</v>
      </c>
      <c r="J72" s="74" t="n">
        <v>44805</v>
      </c>
      <c r="K72" s="44"/>
      <c r="L72" s="44"/>
    </row>
    <row r="73" customFormat="false" ht="12.75" hidden="false" customHeight="false" outlineLevel="0" collapsed="false">
      <c r="A73" s="45" t="s">
        <v>582</v>
      </c>
      <c r="B73" s="29"/>
      <c r="C73" s="52" t="s">
        <v>282</v>
      </c>
      <c r="D73" s="48" t="s">
        <v>410</v>
      </c>
      <c r="E73" s="48" t="s">
        <v>344</v>
      </c>
      <c r="F73" s="29" t="s">
        <v>283</v>
      </c>
      <c r="G73" s="48" t="s">
        <v>410</v>
      </c>
      <c r="H73" s="48" t="s">
        <v>344</v>
      </c>
      <c r="I73" s="46" t="n">
        <v>0</v>
      </c>
      <c r="J73" s="68" t="n">
        <v>44835</v>
      </c>
      <c r="K73" s="47"/>
      <c r="L73" s="47"/>
    </row>
    <row r="74" customFormat="false" ht="12.75" hidden="false" customHeight="false" outlineLevel="0" collapsed="false">
      <c r="A74" s="39" t="s">
        <v>583</v>
      </c>
      <c r="B74" s="27"/>
      <c r="C74" s="51" t="s">
        <v>264</v>
      </c>
      <c r="D74" s="41" t="s">
        <v>410</v>
      </c>
      <c r="E74" s="41" t="s">
        <v>344</v>
      </c>
      <c r="F74" s="51" t="s">
        <v>265</v>
      </c>
      <c r="G74" s="41" t="s">
        <v>410</v>
      </c>
      <c r="H74" s="41" t="s">
        <v>344</v>
      </c>
      <c r="I74" s="40" t="n">
        <v>0</v>
      </c>
      <c r="J74" s="27"/>
      <c r="K74" s="44"/>
      <c r="L74" s="44"/>
    </row>
    <row r="75" customFormat="false" ht="12.75" hidden="false" customHeight="false" outlineLevel="0" collapsed="false">
      <c r="A75" s="45" t="s">
        <v>584</v>
      </c>
      <c r="B75" s="29"/>
      <c r="C75" s="52" t="s">
        <v>453</v>
      </c>
      <c r="D75" s="48" t="s">
        <v>410</v>
      </c>
      <c r="E75" s="48" t="s">
        <v>344</v>
      </c>
      <c r="F75" s="29" t="s">
        <v>454</v>
      </c>
      <c r="G75" s="48" t="s">
        <v>410</v>
      </c>
      <c r="H75" s="48" t="s">
        <v>344</v>
      </c>
      <c r="I75" s="46" t="n">
        <v>0</v>
      </c>
      <c r="J75" s="29"/>
      <c r="K75" s="47"/>
      <c r="L75" s="47"/>
    </row>
    <row r="76" customFormat="false" ht="12.75" hidden="false" customHeight="false" outlineLevel="0" collapsed="false">
      <c r="A76" s="39" t="s">
        <v>585</v>
      </c>
      <c r="B76" s="27"/>
      <c r="C76" s="27" t="s">
        <v>280</v>
      </c>
      <c r="D76" s="41" t="s">
        <v>410</v>
      </c>
      <c r="E76" s="41" t="s">
        <v>344</v>
      </c>
      <c r="F76" s="27" t="s">
        <v>458</v>
      </c>
      <c r="G76" s="41" t="s">
        <v>410</v>
      </c>
      <c r="H76" s="41" t="s">
        <v>344</v>
      </c>
      <c r="I76" s="40" t="n">
        <v>0</v>
      </c>
      <c r="J76" s="27"/>
      <c r="K76" s="44"/>
      <c r="L76" s="44"/>
    </row>
    <row r="77" customFormat="false" ht="12.75" hidden="false" customHeight="false" outlineLevel="0" collapsed="false">
      <c r="A77" s="45" t="s">
        <v>586</v>
      </c>
      <c r="B77" s="29"/>
      <c r="C77" s="29" t="s">
        <v>460</v>
      </c>
      <c r="D77" s="48" t="s">
        <v>410</v>
      </c>
      <c r="E77" s="48" t="s">
        <v>344</v>
      </c>
      <c r="F77" s="29" t="s">
        <v>461</v>
      </c>
      <c r="G77" s="48" t="s">
        <v>410</v>
      </c>
      <c r="H77" s="48" t="s">
        <v>344</v>
      </c>
      <c r="I77" s="46" t="n">
        <v>0</v>
      </c>
      <c r="J77" s="29"/>
      <c r="K77" s="47"/>
      <c r="L77" s="47"/>
    </row>
    <row r="78" customFormat="false" ht="12.75" hidden="false" customHeight="false" outlineLevel="0" collapsed="false">
      <c r="A78" s="39" t="s">
        <v>587</v>
      </c>
      <c r="B78" s="27"/>
      <c r="C78" s="27" t="s">
        <v>304</v>
      </c>
      <c r="D78" s="41" t="s">
        <v>410</v>
      </c>
      <c r="E78" s="41" t="s">
        <v>344</v>
      </c>
      <c r="F78" s="27" t="s">
        <v>463</v>
      </c>
      <c r="G78" s="41" t="s">
        <v>410</v>
      </c>
      <c r="H78" s="41" t="s">
        <v>344</v>
      </c>
      <c r="I78" s="40" t="n">
        <v>0</v>
      </c>
      <c r="J78" s="27"/>
      <c r="K78" s="44"/>
      <c r="L78" s="44"/>
    </row>
    <row r="79" customFormat="false" ht="12.75" hidden="false" customHeight="false" outlineLevel="0" collapsed="false">
      <c r="A79" s="45" t="s">
        <v>588</v>
      </c>
      <c r="B79" s="29"/>
      <c r="C79" s="52" t="s">
        <v>313</v>
      </c>
      <c r="D79" s="48" t="s">
        <v>410</v>
      </c>
      <c r="E79" s="48" t="s">
        <v>344</v>
      </c>
      <c r="F79" s="52" t="s">
        <v>314</v>
      </c>
      <c r="G79" s="48" t="s">
        <v>410</v>
      </c>
      <c r="H79" s="48" t="s">
        <v>344</v>
      </c>
      <c r="I79" s="46" t="n">
        <v>0</v>
      </c>
      <c r="J79" s="29"/>
      <c r="K79" s="47"/>
      <c r="L79" s="47"/>
    </row>
    <row r="80" customFormat="false" ht="12.75" hidden="false" customHeight="false" outlineLevel="0" collapsed="false">
      <c r="A80" s="39" t="s">
        <v>589</v>
      </c>
      <c r="B80" s="27"/>
      <c r="C80" s="27" t="s">
        <v>466</v>
      </c>
      <c r="D80" s="41" t="s">
        <v>410</v>
      </c>
      <c r="E80" s="41" t="s">
        <v>344</v>
      </c>
      <c r="F80" s="27" t="s">
        <v>467</v>
      </c>
      <c r="G80" s="41" t="s">
        <v>410</v>
      </c>
      <c r="H80" s="41" t="s">
        <v>344</v>
      </c>
      <c r="I80" s="40" t="n">
        <v>0</v>
      </c>
      <c r="J80" s="27"/>
      <c r="K80" s="44"/>
      <c r="L80" s="44"/>
    </row>
    <row r="81" customFormat="false" ht="12.75" hidden="false" customHeight="false" outlineLevel="0" collapsed="false">
      <c r="A81" s="45" t="s">
        <v>590</v>
      </c>
      <c r="B81" s="29"/>
      <c r="C81" s="52" t="s">
        <v>319</v>
      </c>
      <c r="D81" s="48" t="s">
        <v>410</v>
      </c>
      <c r="E81" s="48" t="s">
        <v>344</v>
      </c>
      <c r="F81" s="52" t="s">
        <v>320</v>
      </c>
      <c r="G81" s="48" t="s">
        <v>410</v>
      </c>
      <c r="H81" s="48" t="s">
        <v>344</v>
      </c>
      <c r="I81" s="46" t="n">
        <v>0</v>
      </c>
      <c r="J81" s="29"/>
      <c r="K81" s="47"/>
      <c r="L81" s="47"/>
    </row>
    <row r="82" customFormat="false" ht="12.75" hidden="false" customHeight="false" outlineLevel="0" collapsed="false">
      <c r="A82" s="39" t="s">
        <v>591</v>
      </c>
      <c r="B82" s="27"/>
      <c r="C82" s="51" t="s">
        <v>322</v>
      </c>
      <c r="D82" s="41" t="s">
        <v>410</v>
      </c>
      <c r="E82" s="41" t="s">
        <v>344</v>
      </c>
      <c r="F82" s="51" t="s">
        <v>323</v>
      </c>
      <c r="G82" s="41" t="s">
        <v>410</v>
      </c>
      <c r="H82" s="41" t="s">
        <v>344</v>
      </c>
      <c r="I82" s="40" t="n">
        <v>0</v>
      </c>
      <c r="J82" s="27"/>
      <c r="K82" s="44"/>
      <c r="L82" s="44"/>
    </row>
    <row r="83" customFormat="false" ht="12.75" hidden="false" customHeight="false" outlineLevel="0" collapsed="false">
      <c r="A83" s="45" t="s">
        <v>592</v>
      </c>
      <c r="B83" s="29"/>
      <c r="C83" s="29" t="s">
        <v>471</v>
      </c>
      <c r="D83" s="48" t="s">
        <v>410</v>
      </c>
      <c r="E83" s="48" t="s">
        <v>344</v>
      </c>
      <c r="F83" s="29" t="s">
        <v>472</v>
      </c>
      <c r="G83" s="48" t="s">
        <v>410</v>
      </c>
      <c r="H83" s="48" t="s">
        <v>344</v>
      </c>
      <c r="I83" s="46" t="n">
        <v>0</v>
      </c>
      <c r="J83" s="29"/>
      <c r="K83" s="47"/>
      <c r="L83" s="47"/>
    </row>
    <row r="84" customFormat="false" ht="12.75" hidden="false" customHeight="false" outlineLevel="0" collapsed="false">
      <c r="A84" s="39" t="s">
        <v>593</v>
      </c>
      <c r="B84" s="27"/>
      <c r="C84" s="51" t="s">
        <v>325</v>
      </c>
      <c r="D84" s="41" t="s">
        <v>410</v>
      </c>
      <c r="E84" s="41" t="s">
        <v>344</v>
      </c>
      <c r="F84" s="51" t="s">
        <v>326</v>
      </c>
      <c r="G84" s="41" t="s">
        <v>410</v>
      </c>
      <c r="H84" s="41" t="s">
        <v>344</v>
      </c>
      <c r="I84" s="27"/>
      <c r="J84" s="27"/>
      <c r="K84" s="44"/>
      <c r="L84" s="44"/>
    </row>
    <row r="85" customFormat="false" ht="12.75" hidden="false" customHeight="false" outlineLevel="0" collapsed="false">
      <c r="A85" s="45" t="s">
        <v>594</v>
      </c>
      <c r="B85" s="29"/>
      <c r="C85" s="52" t="s">
        <v>110</v>
      </c>
      <c r="D85" s="48" t="s">
        <v>410</v>
      </c>
      <c r="E85" s="48" t="s">
        <v>344</v>
      </c>
      <c r="F85" s="52" t="s">
        <v>111</v>
      </c>
      <c r="G85" s="48" t="s">
        <v>410</v>
      </c>
      <c r="H85" s="48" t="s">
        <v>344</v>
      </c>
      <c r="I85" s="29"/>
      <c r="J85" s="29"/>
      <c r="K85" s="47"/>
      <c r="L85" s="47"/>
    </row>
    <row r="86" customFormat="false" ht="12.75" hidden="false" customHeight="false" outlineLevel="0" collapsed="false">
      <c r="A86" s="39" t="s">
        <v>595</v>
      </c>
      <c r="B86" s="27"/>
      <c r="C86" s="51" t="s">
        <v>328</v>
      </c>
      <c r="D86" s="41" t="s">
        <v>410</v>
      </c>
      <c r="E86" s="41" t="s">
        <v>344</v>
      </c>
      <c r="F86" s="51" t="s">
        <v>329</v>
      </c>
      <c r="G86" s="41" t="s">
        <v>410</v>
      </c>
      <c r="H86" s="41" t="s">
        <v>344</v>
      </c>
      <c r="I86" s="27"/>
      <c r="J86" s="27"/>
      <c r="K86" s="44"/>
      <c r="L86" s="44"/>
    </row>
    <row r="87" customFormat="false" ht="12.75" hidden="false" customHeight="false" outlineLevel="0" collapsed="false">
      <c r="A87" s="45" t="s">
        <v>596</v>
      </c>
      <c r="B87" s="29"/>
      <c r="C87" s="52" t="s">
        <v>331</v>
      </c>
      <c r="D87" s="48" t="s">
        <v>410</v>
      </c>
      <c r="E87" s="48" t="s">
        <v>344</v>
      </c>
      <c r="F87" s="52" t="s">
        <v>332</v>
      </c>
      <c r="G87" s="48" t="s">
        <v>410</v>
      </c>
      <c r="H87" s="48" t="s">
        <v>344</v>
      </c>
      <c r="I87" s="29"/>
      <c r="J87" s="29"/>
      <c r="K87" s="47"/>
      <c r="L87" s="47"/>
    </row>
    <row r="88" customFormat="false" ht="12.75" hidden="false" customHeight="false" outlineLevel="0" collapsed="false">
      <c r="A88" s="39" t="s">
        <v>597</v>
      </c>
      <c r="B88" s="27"/>
      <c r="C88" s="51" t="s">
        <v>334</v>
      </c>
      <c r="D88" s="41" t="s">
        <v>410</v>
      </c>
      <c r="E88" s="41" t="s">
        <v>344</v>
      </c>
      <c r="F88" s="51" t="s">
        <v>335</v>
      </c>
      <c r="G88" s="41" t="s">
        <v>410</v>
      </c>
      <c r="H88" s="41" t="s">
        <v>344</v>
      </c>
      <c r="I88" s="27"/>
      <c r="J88" s="27"/>
      <c r="K88" s="44"/>
      <c r="L88" s="44"/>
    </row>
    <row r="89" customFormat="false" ht="12.75" hidden="false" customHeight="false" outlineLevel="0" collapsed="false">
      <c r="A89" s="45" t="s">
        <v>598</v>
      </c>
      <c r="B89" s="29"/>
      <c r="C89" s="52" t="s">
        <v>336</v>
      </c>
      <c r="D89" s="48" t="s">
        <v>410</v>
      </c>
      <c r="E89" s="48" t="s">
        <v>344</v>
      </c>
      <c r="F89" s="52" t="s">
        <v>337</v>
      </c>
      <c r="G89" s="48" t="s">
        <v>410</v>
      </c>
      <c r="H89" s="48" t="s">
        <v>344</v>
      </c>
      <c r="I89" s="29"/>
      <c r="J89" s="75" t="n">
        <v>45495</v>
      </c>
      <c r="K89" s="47"/>
      <c r="L89" s="47"/>
    </row>
  </sheetData>
  <autoFilter ref="A3:L89"/>
  <mergeCells count="3">
    <mergeCell ref="A1:B2"/>
    <mergeCell ref="C1:J1"/>
    <mergeCell ref="C2:J2"/>
  </mergeCells>
  <printOptions headings="false" gridLines="false" gridLinesSet="true" horizontalCentered="false" verticalCentered="false"/>
  <pageMargins left="0.3" right="0.3" top="0.400694444444444" bottom="0.4" header="0.315277777777778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&amp;R&amp;"Aptos,Regular"&amp;1 &amp;K008000  Informação Pública /  Public Information#_x005F_x000d_</oddHeader>
    <oddFooter>&amp;R&amp;"Aptos,Regular"&amp;K008000 _x005F_x000d_# J Mendes - Nome: K19-204-FER-LD-001-R01 -Lista de Documentos Rev.03.xlsx Aberto Por: filipe.souza@jmendes.com.br Data: 2026-08-11T10:27:55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L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2"/>
    <col collapsed="false" customWidth="true" hidden="false" outlineLevel="0" max="3" min="3" style="0" width="53"/>
    <col collapsed="false" customWidth="true" hidden="false" outlineLevel="0" max="4" min="4" style="0" width="21.43"/>
    <col collapsed="false" customWidth="true" hidden="false" outlineLevel="0" max="5" min="5" style="0" width="24.42"/>
    <col collapsed="false" customWidth="true" hidden="false" outlineLevel="0" max="6" min="6" style="0" width="69.71"/>
    <col collapsed="false" customWidth="true" hidden="false" outlineLevel="0" max="7" min="7" style="0" width="22.29"/>
    <col collapsed="false" customWidth="true" hidden="false" outlineLevel="0" max="8" min="8" style="0" width="45.43"/>
    <col collapsed="false" customWidth="true" hidden="false" outlineLevel="0" max="9" min="9" style="0" width="7.42"/>
    <col collapsed="false" customWidth="true" hidden="false" outlineLevel="0" max="10" min="10" style="0" width="8.29"/>
    <col collapsed="false" customWidth="true" hidden="false" outlineLevel="0" max="12" min="11" style="0" width="22"/>
  </cols>
  <sheetData>
    <row r="1" customFormat="false" ht="21.75" hidden="false" customHeight="true" outlineLevel="0" collapsed="false">
      <c r="A1" s="33"/>
      <c r="B1" s="33"/>
      <c r="C1" s="34" t="s">
        <v>30</v>
      </c>
      <c r="D1" s="34"/>
      <c r="E1" s="34"/>
      <c r="F1" s="34"/>
      <c r="G1" s="34"/>
      <c r="H1" s="34"/>
      <c r="I1" s="34"/>
      <c r="J1" s="34"/>
    </row>
    <row r="2" customFormat="false" ht="15.75" hidden="false" customHeight="true" outlineLevel="0" collapsed="false">
      <c r="A2" s="33"/>
      <c r="B2" s="33"/>
      <c r="C2" s="35" t="s">
        <v>31</v>
      </c>
      <c r="D2" s="35"/>
      <c r="E2" s="35"/>
      <c r="F2" s="35"/>
      <c r="G2" s="35"/>
      <c r="H2" s="35"/>
      <c r="I2" s="35"/>
      <c r="J2" s="35"/>
    </row>
    <row r="3" customFormat="false" ht="30" hidden="false" customHeight="true" outlineLevel="0" collapsed="false">
      <c r="A3" s="37" t="s">
        <v>33</v>
      </c>
      <c r="B3" s="37" t="s">
        <v>34</v>
      </c>
      <c r="C3" s="37" t="s">
        <v>35</v>
      </c>
      <c r="D3" s="37" t="s">
        <v>36</v>
      </c>
      <c r="E3" s="37" t="s">
        <v>37</v>
      </c>
      <c r="F3" s="37" t="s">
        <v>38</v>
      </c>
      <c r="G3" s="37" t="s">
        <v>339</v>
      </c>
      <c r="H3" s="37" t="s">
        <v>340</v>
      </c>
      <c r="I3" s="37" t="s">
        <v>40</v>
      </c>
      <c r="J3" s="37" t="s">
        <v>41</v>
      </c>
      <c r="K3" s="38" t="s">
        <v>42</v>
      </c>
      <c r="L3" s="38" t="s">
        <v>43</v>
      </c>
    </row>
    <row r="4" customFormat="false" ht="12.75" hidden="false" customHeight="false" outlineLevel="0" collapsed="false">
      <c r="A4" s="39" t="s">
        <v>599</v>
      </c>
      <c r="B4" s="40"/>
      <c r="C4" s="41" t="s">
        <v>600</v>
      </c>
      <c r="D4" s="41" t="s">
        <v>601</v>
      </c>
      <c r="E4" s="41" t="s">
        <v>344</v>
      </c>
      <c r="F4" s="41" t="s">
        <v>602</v>
      </c>
      <c r="G4" s="41" t="s">
        <v>345</v>
      </c>
      <c r="H4" s="41" t="s">
        <v>413</v>
      </c>
      <c r="I4" s="42" t="n">
        <v>0</v>
      </c>
      <c r="J4" s="43" t="n">
        <v>44136</v>
      </c>
      <c r="K4" s="44"/>
      <c r="L4" s="44"/>
    </row>
    <row r="5" customFormat="false" ht="12.75" hidden="false" customHeight="false" outlineLevel="0" collapsed="false">
      <c r="A5" s="45" t="s">
        <v>603</v>
      </c>
      <c r="B5" s="46"/>
      <c r="C5" s="48" t="s">
        <v>604</v>
      </c>
      <c r="D5" s="48" t="s">
        <v>601</v>
      </c>
      <c r="E5" s="48" t="s">
        <v>344</v>
      </c>
      <c r="F5" s="48" t="s">
        <v>605</v>
      </c>
      <c r="G5" s="48" t="s">
        <v>345</v>
      </c>
      <c r="H5" s="48" t="s">
        <v>413</v>
      </c>
      <c r="I5" s="46" t="n">
        <v>0</v>
      </c>
      <c r="J5" s="49" t="n">
        <v>44136</v>
      </c>
      <c r="K5" s="47"/>
      <c r="L5" s="47"/>
    </row>
    <row r="6" customFormat="false" ht="12.75" hidden="false" customHeight="false" outlineLevel="0" collapsed="false">
      <c r="A6" s="39" t="s">
        <v>606</v>
      </c>
      <c r="B6" s="42"/>
      <c r="C6" s="41" t="s">
        <v>607</v>
      </c>
      <c r="D6" s="41" t="s">
        <v>601</v>
      </c>
      <c r="E6" s="41" t="s">
        <v>344</v>
      </c>
      <c r="F6" s="41" t="s">
        <v>123</v>
      </c>
      <c r="G6" s="41" t="s">
        <v>345</v>
      </c>
      <c r="H6" s="41" t="s">
        <v>413</v>
      </c>
      <c r="I6" s="40" t="n">
        <v>0</v>
      </c>
      <c r="J6" s="43" t="n">
        <v>44136</v>
      </c>
      <c r="K6" s="44"/>
      <c r="L6" s="44"/>
    </row>
    <row r="7" customFormat="false" ht="12.75" hidden="false" customHeight="false" outlineLevel="0" collapsed="false">
      <c r="A7" s="45" t="s">
        <v>608</v>
      </c>
      <c r="B7" s="50"/>
      <c r="C7" s="48" t="s">
        <v>125</v>
      </c>
      <c r="D7" s="48" t="s">
        <v>601</v>
      </c>
      <c r="E7" s="48" t="s">
        <v>344</v>
      </c>
      <c r="F7" s="48" t="s">
        <v>126</v>
      </c>
      <c r="G7" s="48" t="s">
        <v>345</v>
      </c>
      <c r="H7" s="48" t="s">
        <v>413</v>
      </c>
      <c r="I7" s="50" t="n">
        <v>0</v>
      </c>
      <c r="J7" s="49" t="n">
        <v>44136</v>
      </c>
      <c r="K7" s="47"/>
      <c r="L7" s="47"/>
    </row>
    <row r="8" customFormat="false" ht="12.75" hidden="false" customHeight="false" outlineLevel="0" collapsed="false">
      <c r="A8" s="39" t="s">
        <v>609</v>
      </c>
      <c r="B8" s="42"/>
      <c r="C8" s="41" t="s">
        <v>610</v>
      </c>
      <c r="D8" s="41" t="s">
        <v>601</v>
      </c>
      <c r="E8" s="41" t="s">
        <v>344</v>
      </c>
      <c r="F8" s="41" t="s">
        <v>611</v>
      </c>
      <c r="G8" s="41" t="s">
        <v>345</v>
      </c>
      <c r="H8" s="41" t="s">
        <v>413</v>
      </c>
      <c r="I8" s="42" t="n">
        <v>0</v>
      </c>
      <c r="J8" s="43" t="n">
        <v>44075</v>
      </c>
      <c r="K8" s="44"/>
      <c r="L8" s="44"/>
    </row>
    <row r="9" customFormat="false" ht="12.75" hidden="false" customHeight="false" outlineLevel="0" collapsed="false">
      <c r="A9" s="45" t="s">
        <v>612</v>
      </c>
      <c r="B9" s="50"/>
      <c r="C9" s="48" t="s">
        <v>613</v>
      </c>
      <c r="D9" s="48" t="s">
        <v>601</v>
      </c>
      <c r="E9" s="48" t="s">
        <v>344</v>
      </c>
      <c r="F9" s="48" t="s">
        <v>614</v>
      </c>
      <c r="G9" s="48" t="s">
        <v>345</v>
      </c>
      <c r="H9" s="48" t="s">
        <v>413</v>
      </c>
      <c r="I9" s="46" t="n">
        <v>0</v>
      </c>
      <c r="J9" s="49" t="n">
        <v>44136</v>
      </c>
      <c r="K9" s="47"/>
      <c r="L9" s="47"/>
    </row>
    <row r="10" customFormat="false" ht="12.75" hidden="false" customHeight="false" outlineLevel="0" collapsed="false">
      <c r="A10" s="39" t="s">
        <v>615</v>
      </c>
      <c r="B10" s="42"/>
      <c r="C10" s="41" t="s">
        <v>616</v>
      </c>
      <c r="D10" s="41" t="s">
        <v>601</v>
      </c>
      <c r="E10" s="41" t="s">
        <v>344</v>
      </c>
      <c r="F10" s="41" t="s">
        <v>617</v>
      </c>
      <c r="G10" s="41" t="s">
        <v>345</v>
      </c>
      <c r="H10" s="41" t="s">
        <v>413</v>
      </c>
      <c r="I10" s="40" t="n">
        <v>0</v>
      </c>
      <c r="J10" s="77" t="n">
        <v>44075</v>
      </c>
      <c r="K10" s="44"/>
      <c r="L10" s="44"/>
    </row>
    <row r="11" customFormat="false" ht="12.75" hidden="false" customHeight="false" outlineLevel="0" collapsed="false">
      <c r="A11" s="45" t="s">
        <v>618</v>
      </c>
      <c r="B11" s="48" t="n">
        <v>6140344</v>
      </c>
      <c r="C11" s="48" t="s">
        <v>45</v>
      </c>
      <c r="D11" s="48" t="s">
        <v>601</v>
      </c>
      <c r="E11" s="48" t="s">
        <v>344</v>
      </c>
      <c r="F11" s="48" t="s">
        <v>47</v>
      </c>
      <c r="G11" s="48" t="s">
        <v>345</v>
      </c>
      <c r="H11" s="48" t="s">
        <v>413</v>
      </c>
      <c r="I11" s="46" t="n">
        <v>0</v>
      </c>
      <c r="J11" s="49" t="n">
        <v>44075</v>
      </c>
      <c r="K11" s="47"/>
      <c r="L11" s="47"/>
    </row>
    <row r="12" customFormat="false" ht="12.75" hidden="false" customHeight="false" outlineLevel="0" collapsed="false">
      <c r="A12" s="39" t="s">
        <v>619</v>
      </c>
      <c r="B12" s="42"/>
      <c r="C12" s="41" t="s">
        <v>131</v>
      </c>
      <c r="D12" s="41" t="s">
        <v>601</v>
      </c>
      <c r="E12" s="41" t="s">
        <v>344</v>
      </c>
      <c r="F12" s="41" t="s">
        <v>132</v>
      </c>
      <c r="G12" s="41" t="s">
        <v>345</v>
      </c>
      <c r="H12" s="41" t="s">
        <v>413</v>
      </c>
      <c r="I12" s="40" t="n">
        <v>0</v>
      </c>
      <c r="J12" s="43" t="n">
        <v>44136</v>
      </c>
      <c r="K12" s="44"/>
      <c r="L12" s="44"/>
    </row>
    <row r="13" customFormat="false" ht="12.75" hidden="false" customHeight="false" outlineLevel="0" collapsed="false">
      <c r="A13" s="45" t="s">
        <v>620</v>
      </c>
      <c r="B13" s="46"/>
      <c r="C13" s="48" t="s">
        <v>621</v>
      </c>
      <c r="D13" s="48" t="s">
        <v>601</v>
      </c>
      <c r="E13" s="48" t="s">
        <v>344</v>
      </c>
      <c r="F13" s="48" t="s">
        <v>622</v>
      </c>
      <c r="G13" s="48" t="s">
        <v>345</v>
      </c>
      <c r="H13" s="48" t="s">
        <v>413</v>
      </c>
      <c r="I13" s="46" t="n">
        <v>0</v>
      </c>
      <c r="J13" s="49" t="n">
        <v>44136</v>
      </c>
      <c r="K13" s="47"/>
      <c r="L13" s="47"/>
    </row>
    <row r="14" customFormat="false" ht="12.75" hidden="false" customHeight="false" outlineLevel="0" collapsed="false">
      <c r="A14" s="39" t="s">
        <v>623</v>
      </c>
      <c r="B14" s="40"/>
      <c r="C14" s="41" t="s">
        <v>134</v>
      </c>
      <c r="D14" s="41" t="s">
        <v>601</v>
      </c>
      <c r="E14" s="41" t="s">
        <v>344</v>
      </c>
      <c r="F14" s="41" t="s">
        <v>135</v>
      </c>
      <c r="G14" s="41" t="s">
        <v>345</v>
      </c>
      <c r="H14" s="41" t="s">
        <v>413</v>
      </c>
      <c r="I14" s="40" t="n">
        <v>0</v>
      </c>
      <c r="J14" s="43" t="n">
        <v>44136</v>
      </c>
      <c r="K14" s="44"/>
      <c r="L14" s="44"/>
    </row>
    <row r="15" customFormat="false" ht="12.75" hidden="false" customHeight="false" outlineLevel="0" collapsed="false">
      <c r="A15" s="45" t="s">
        <v>624</v>
      </c>
      <c r="B15" s="46"/>
      <c r="C15" s="48" t="s">
        <v>625</v>
      </c>
      <c r="D15" s="48" t="s">
        <v>601</v>
      </c>
      <c r="E15" s="48" t="s">
        <v>344</v>
      </c>
      <c r="F15" s="48" t="s">
        <v>626</v>
      </c>
      <c r="G15" s="48" t="s">
        <v>345</v>
      </c>
      <c r="H15" s="48" t="s">
        <v>413</v>
      </c>
      <c r="I15" s="46" t="n">
        <v>0</v>
      </c>
      <c r="J15" s="49" t="n">
        <v>44075</v>
      </c>
      <c r="K15" s="47"/>
      <c r="L15" s="47"/>
    </row>
    <row r="16" customFormat="false" ht="12.75" hidden="false" customHeight="false" outlineLevel="0" collapsed="false">
      <c r="A16" s="39" t="s">
        <v>627</v>
      </c>
      <c r="B16" s="51"/>
      <c r="C16" s="41" t="s">
        <v>628</v>
      </c>
      <c r="D16" s="41" t="s">
        <v>601</v>
      </c>
      <c r="E16" s="41" t="s">
        <v>344</v>
      </c>
      <c r="F16" s="41" t="s">
        <v>629</v>
      </c>
      <c r="G16" s="41" t="s">
        <v>345</v>
      </c>
      <c r="H16" s="41" t="s">
        <v>413</v>
      </c>
      <c r="I16" s="40" t="n">
        <v>0</v>
      </c>
      <c r="J16" s="43" t="n">
        <v>44136</v>
      </c>
      <c r="K16" s="44"/>
      <c r="L16" s="44"/>
    </row>
    <row r="17" customFormat="false" ht="12.75" hidden="false" customHeight="false" outlineLevel="0" collapsed="false">
      <c r="A17" s="45" t="s">
        <v>630</v>
      </c>
      <c r="B17" s="52"/>
      <c r="C17" s="48" t="s">
        <v>150</v>
      </c>
      <c r="D17" s="48" t="s">
        <v>601</v>
      </c>
      <c r="E17" s="48" t="s">
        <v>344</v>
      </c>
      <c r="F17" s="48" t="s">
        <v>151</v>
      </c>
      <c r="G17" s="48" t="s">
        <v>345</v>
      </c>
      <c r="H17" s="48" t="s">
        <v>413</v>
      </c>
      <c r="I17" s="46" t="n">
        <v>0</v>
      </c>
      <c r="J17" s="49" t="n">
        <v>44075</v>
      </c>
      <c r="K17" s="47"/>
      <c r="L17" s="47"/>
    </row>
    <row r="18" customFormat="false" ht="12.75" hidden="false" customHeight="false" outlineLevel="0" collapsed="false">
      <c r="A18" s="39" t="s">
        <v>631</v>
      </c>
      <c r="B18" s="51"/>
      <c r="C18" s="41" t="s">
        <v>632</v>
      </c>
      <c r="D18" s="41" t="s">
        <v>601</v>
      </c>
      <c r="E18" s="41" t="s">
        <v>344</v>
      </c>
      <c r="F18" s="41" t="s">
        <v>502</v>
      </c>
      <c r="G18" s="41" t="s">
        <v>345</v>
      </c>
      <c r="H18" s="41" t="s">
        <v>413</v>
      </c>
      <c r="I18" s="40" t="n">
        <v>0</v>
      </c>
      <c r="J18" s="43" t="n">
        <v>44075</v>
      </c>
      <c r="K18" s="44"/>
      <c r="L18" s="44"/>
    </row>
    <row r="19" customFormat="false" ht="12.75" hidden="false" customHeight="false" outlineLevel="0" collapsed="false">
      <c r="A19" s="45" t="s">
        <v>633</v>
      </c>
      <c r="B19" s="52"/>
      <c r="C19" s="48" t="s">
        <v>634</v>
      </c>
      <c r="D19" s="48" t="s">
        <v>601</v>
      </c>
      <c r="E19" s="48" t="s">
        <v>344</v>
      </c>
      <c r="F19" s="48" t="s">
        <v>635</v>
      </c>
      <c r="G19" s="48" t="s">
        <v>345</v>
      </c>
      <c r="H19" s="48" t="s">
        <v>413</v>
      </c>
      <c r="I19" s="46" t="n">
        <v>1</v>
      </c>
      <c r="J19" s="49" t="n">
        <v>44136</v>
      </c>
      <c r="K19" s="47"/>
      <c r="L19" s="47"/>
    </row>
    <row r="20" customFormat="false" ht="12.75" hidden="false" customHeight="false" outlineLevel="0" collapsed="false">
      <c r="A20" s="39" t="s">
        <v>636</v>
      </c>
      <c r="B20" s="51"/>
      <c r="C20" s="41" t="s">
        <v>637</v>
      </c>
      <c r="D20" s="41" t="s">
        <v>601</v>
      </c>
      <c r="E20" s="41" t="s">
        <v>344</v>
      </c>
      <c r="F20" s="41" t="s">
        <v>638</v>
      </c>
      <c r="G20" s="41" t="s">
        <v>345</v>
      </c>
      <c r="H20" s="41" t="s">
        <v>413</v>
      </c>
      <c r="I20" s="40" t="n">
        <v>0</v>
      </c>
      <c r="J20" s="43" t="n">
        <v>44136</v>
      </c>
      <c r="K20" s="44"/>
      <c r="L20" s="44"/>
    </row>
    <row r="21" customFormat="false" ht="12.75" hidden="false" customHeight="false" outlineLevel="0" collapsed="false">
      <c r="A21" s="45" t="s">
        <v>639</v>
      </c>
      <c r="B21" s="52"/>
      <c r="C21" s="48" t="s">
        <v>640</v>
      </c>
      <c r="D21" s="48" t="s">
        <v>601</v>
      </c>
      <c r="E21" s="48" t="s">
        <v>344</v>
      </c>
      <c r="F21" s="48" t="s">
        <v>641</v>
      </c>
      <c r="G21" s="48" t="s">
        <v>345</v>
      </c>
      <c r="H21" s="48" t="s">
        <v>413</v>
      </c>
      <c r="I21" s="46" t="n">
        <v>0</v>
      </c>
      <c r="J21" s="49" t="n">
        <v>44136</v>
      </c>
      <c r="K21" s="47"/>
      <c r="L21" s="47"/>
    </row>
    <row r="22" customFormat="false" ht="12.75" hidden="false" customHeight="false" outlineLevel="0" collapsed="false">
      <c r="A22" s="39" t="s">
        <v>642</v>
      </c>
      <c r="B22" s="51"/>
      <c r="C22" s="41"/>
      <c r="D22" s="41"/>
      <c r="E22" s="41"/>
      <c r="F22" s="41"/>
      <c r="G22" s="41"/>
      <c r="H22" s="41"/>
      <c r="I22" s="40"/>
      <c r="J22" s="43"/>
      <c r="K22" s="44"/>
      <c r="L22" s="44"/>
    </row>
    <row r="23" customFormat="false" ht="12.75" hidden="false" customHeight="false" outlineLevel="0" collapsed="false">
      <c r="A23" s="45" t="s">
        <v>643</v>
      </c>
      <c r="B23" s="52"/>
      <c r="C23" s="48" t="s">
        <v>644</v>
      </c>
      <c r="D23" s="48" t="s">
        <v>601</v>
      </c>
      <c r="E23" s="48" t="s">
        <v>344</v>
      </c>
      <c r="F23" s="48" t="s">
        <v>645</v>
      </c>
      <c r="G23" s="48" t="s">
        <v>345</v>
      </c>
      <c r="H23" s="48" t="s">
        <v>413</v>
      </c>
      <c r="I23" s="46" t="n">
        <v>0</v>
      </c>
      <c r="J23" s="49" t="n">
        <v>44075</v>
      </c>
      <c r="K23" s="47"/>
      <c r="L23" s="47"/>
    </row>
    <row r="24" customFormat="false" ht="12.75" hidden="false" customHeight="false" outlineLevel="0" collapsed="false">
      <c r="A24" s="39" t="s">
        <v>646</v>
      </c>
      <c r="B24" s="51"/>
      <c r="C24" s="41" t="s">
        <v>154</v>
      </c>
      <c r="D24" s="41" t="s">
        <v>601</v>
      </c>
      <c r="E24" s="41" t="s">
        <v>344</v>
      </c>
      <c r="F24" s="41" t="s">
        <v>155</v>
      </c>
      <c r="G24" s="41" t="s">
        <v>345</v>
      </c>
      <c r="H24" s="41" t="s">
        <v>413</v>
      </c>
      <c r="I24" s="40" t="n">
        <v>0</v>
      </c>
      <c r="J24" s="43" t="n">
        <v>44136</v>
      </c>
      <c r="K24" s="44"/>
      <c r="L24" s="44"/>
    </row>
    <row r="25" customFormat="false" ht="12.75" hidden="false" customHeight="false" outlineLevel="0" collapsed="false">
      <c r="A25" s="45" t="s">
        <v>647</v>
      </c>
      <c r="B25" s="52"/>
      <c r="C25" s="48" t="s">
        <v>648</v>
      </c>
      <c r="D25" s="48" t="s">
        <v>601</v>
      </c>
      <c r="E25" s="48" t="s">
        <v>344</v>
      </c>
      <c r="F25" s="48" t="s">
        <v>649</v>
      </c>
      <c r="G25" s="48" t="s">
        <v>345</v>
      </c>
      <c r="H25" s="48" t="s">
        <v>413</v>
      </c>
      <c r="I25" s="46" t="n">
        <v>1</v>
      </c>
      <c r="J25" s="49" t="n">
        <v>44136</v>
      </c>
      <c r="K25" s="47"/>
      <c r="L25" s="47"/>
    </row>
    <row r="26" customFormat="false" ht="12.75" hidden="false" customHeight="false" outlineLevel="0" collapsed="false">
      <c r="A26" s="39" t="s">
        <v>650</v>
      </c>
      <c r="B26" s="51"/>
      <c r="C26" s="41" t="s">
        <v>651</v>
      </c>
      <c r="D26" s="41" t="s">
        <v>601</v>
      </c>
      <c r="E26" s="41" t="s">
        <v>344</v>
      </c>
      <c r="F26" s="41" t="s">
        <v>652</v>
      </c>
      <c r="G26" s="41" t="s">
        <v>345</v>
      </c>
      <c r="H26" s="41" t="s">
        <v>413</v>
      </c>
      <c r="I26" s="40" t="n">
        <v>0</v>
      </c>
      <c r="J26" s="43" t="n">
        <v>44075</v>
      </c>
      <c r="K26" s="44"/>
      <c r="L26" s="44"/>
    </row>
    <row r="27" customFormat="false" ht="12.75" hidden="false" customHeight="false" outlineLevel="0" collapsed="false">
      <c r="A27" s="45" t="s">
        <v>653</v>
      </c>
      <c r="B27" s="52"/>
      <c r="C27" s="48" t="s">
        <v>654</v>
      </c>
      <c r="D27" s="48" t="s">
        <v>601</v>
      </c>
      <c r="E27" s="48" t="s">
        <v>344</v>
      </c>
      <c r="F27" s="48" t="s">
        <v>370</v>
      </c>
      <c r="G27" s="48" t="s">
        <v>345</v>
      </c>
      <c r="H27" s="48" t="s">
        <v>413</v>
      </c>
      <c r="I27" s="46" t="n">
        <v>0</v>
      </c>
      <c r="J27" s="49" t="n">
        <v>44075</v>
      </c>
      <c r="K27" s="47"/>
      <c r="L27" s="47"/>
    </row>
    <row r="28" customFormat="false" ht="12.75" hidden="false" customHeight="false" outlineLevel="0" collapsed="false">
      <c r="A28" s="39" t="s">
        <v>655</v>
      </c>
      <c r="B28" s="51"/>
      <c r="C28" s="41" t="s">
        <v>656</v>
      </c>
      <c r="D28" s="41" t="s">
        <v>601</v>
      </c>
      <c r="E28" s="41" t="s">
        <v>344</v>
      </c>
      <c r="F28" s="41" t="s">
        <v>657</v>
      </c>
      <c r="G28" s="41" t="s">
        <v>345</v>
      </c>
      <c r="H28" s="41" t="s">
        <v>413</v>
      </c>
      <c r="I28" s="40" t="n">
        <v>0</v>
      </c>
      <c r="J28" s="43" t="n">
        <v>44075</v>
      </c>
      <c r="K28" s="44"/>
      <c r="L28" s="44"/>
    </row>
    <row r="29" customFormat="false" ht="12.75" hidden="false" customHeight="false" outlineLevel="0" collapsed="false">
      <c r="A29" s="45" t="s">
        <v>658</v>
      </c>
      <c r="B29" s="52"/>
      <c r="C29" s="48" t="s">
        <v>659</v>
      </c>
      <c r="D29" s="48" t="s">
        <v>601</v>
      </c>
      <c r="E29" s="48" t="s">
        <v>344</v>
      </c>
      <c r="F29" s="48" t="s">
        <v>660</v>
      </c>
      <c r="G29" s="48" t="s">
        <v>345</v>
      </c>
      <c r="H29" s="48" t="s">
        <v>413</v>
      </c>
      <c r="I29" s="46" t="n">
        <v>0</v>
      </c>
      <c r="J29" s="49" t="n">
        <v>44075</v>
      </c>
      <c r="K29" s="47"/>
      <c r="L29" s="47"/>
    </row>
    <row r="30" customFormat="false" ht="12.75" hidden="false" customHeight="false" outlineLevel="0" collapsed="false">
      <c r="A30" s="39" t="s">
        <v>661</v>
      </c>
      <c r="B30" s="51"/>
      <c r="C30" s="41" t="s">
        <v>662</v>
      </c>
      <c r="D30" s="41" t="s">
        <v>601</v>
      </c>
      <c r="E30" s="41" t="s">
        <v>344</v>
      </c>
      <c r="F30" s="41" t="s">
        <v>663</v>
      </c>
      <c r="G30" s="41" t="s">
        <v>345</v>
      </c>
      <c r="H30" s="41" t="s">
        <v>413</v>
      </c>
      <c r="I30" s="40" t="n">
        <v>0</v>
      </c>
      <c r="J30" s="43" t="n">
        <v>44136</v>
      </c>
      <c r="K30" s="44"/>
      <c r="L30" s="44"/>
    </row>
    <row r="31" customFormat="false" ht="12.75" hidden="false" customHeight="false" outlineLevel="0" collapsed="false">
      <c r="A31" s="45" t="s">
        <v>664</v>
      </c>
      <c r="B31" s="52"/>
      <c r="C31" s="48" t="s">
        <v>665</v>
      </c>
      <c r="D31" s="48" t="s">
        <v>601</v>
      </c>
      <c r="E31" s="48" t="s">
        <v>344</v>
      </c>
      <c r="F31" s="48" t="s">
        <v>666</v>
      </c>
      <c r="G31" s="48" t="s">
        <v>345</v>
      </c>
      <c r="H31" s="48" t="s">
        <v>413</v>
      </c>
      <c r="I31" s="46" t="n">
        <v>0</v>
      </c>
      <c r="J31" s="49" t="n">
        <v>44075</v>
      </c>
      <c r="K31" s="47"/>
      <c r="L31" s="47"/>
    </row>
    <row r="32" customFormat="false" ht="12.75" hidden="false" customHeight="false" outlineLevel="0" collapsed="false">
      <c r="A32" s="39" t="s">
        <v>667</v>
      </c>
      <c r="B32" s="51"/>
      <c r="C32" s="41" t="s">
        <v>668</v>
      </c>
      <c r="D32" s="41" t="s">
        <v>601</v>
      </c>
      <c r="E32" s="41" t="s">
        <v>344</v>
      </c>
      <c r="F32" s="41" t="s">
        <v>669</v>
      </c>
      <c r="G32" s="41" t="s">
        <v>345</v>
      </c>
      <c r="H32" s="41" t="s">
        <v>413</v>
      </c>
      <c r="I32" s="40" t="n">
        <v>0</v>
      </c>
      <c r="J32" s="43" t="n">
        <v>44136</v>
      </c>
      <c r="K32" s="44"/>
      <c r="L32" s="44"/>
    </row>
    <row r="33" customFormat="false" ht="12.75" hidden="false" customHeight="false" outlineLevel="0" collapsed="false">
      <c r="A33" s="45" t="s">
        <v>670</v>
      </c>
      <c r="B33" s="52"/>
      <c r="C33" s="48" t="s">
        <v>671</v>
      </c>
      <c r="D33" s="48" t="s">
        <v>601</v>
      </c>
      <c r="E33" s="48" t="s">
        <v>344</v>
      </c>
      <c r="F33" s="48" t="s">
        <v>672</v>
      </c>
      <c r="G33" s="48" t="s">
        <v>345</v>
      </c>
      <c r="H33" s="48" t="s">
        <v>413</v>
      </c>
      <c r="I33" s="46" t="n">
        <v>0</v>
      </c>
      <c r="J33" s="49" t="n">
        <v>44136</v>
      </c>
      <c r="K33" s="47"/>
      <c r="L33" s="47"/>
    </row>
    <row r="34" customFormat="false" ht="12.75" hidden="false" customHeight="false" outlineLevel="0" collapsed="false">
      <c r="A34" s="39" t="s">
        <v>673</v>
      </c>
      <c r="B34" s="51"/>
      <c r="C34" s="41" t="s">
        <v>674</v>
      </c>
      <c r="D34" s="41" t="s">
        <v>601</v>
      </c>
      <c r="E34" s="41" t="s">
        <v>344</v>
      </c>
      <c r="F34" s="41" t="s">
        <v>675</v>
      </c>
      <c r="G34" s="41" t="s">
        <v>345</v>
      </c>
      <c r="H34" s="41" t="s">
        <v>413</v>
      </c>
      <c r="I34" s="40" t="n">
        <v>0</v>
      </c>
      <c r="J34" s="43" t="n">
        <v>44075</v>
      </c>
      <c r="K34" s="44"/>
      <c r="L34" s="44"/>
    </row>
    <row r="35" customFormat="false" ht="12.75" hidden="false" customHeight="false" outlineLevel="0" collapsed="false">
      <c r="A35" s="45" t="s">
        <v>676</v>
      </c>
      <c r="B35" s="52"/>
      <c r="C35" s="48" t="s">
        <v>548</v>
      </c>
      <c r="D35" s="48" t="s">
        <v>601</v>
      </c>
      <c r="E35" s="48" t="s">
        <v>344</v>
      </c>
      <c r="F35" s="48" t="s">
        <v>197</v>
      </c>
      <c r="G35" s="48" t="s">
        <v>345</v>
      </c>
      <c r="H35" s="48" t="s">
        <v>413</v>
      </c>
      <c r="I35" s="46" t="n">
        <v>0</v>
      </c>
      <c r="J35" s="49" t="n">
        <v>44136</v>
      </c>
      <c r="K35" s="47"/>
      <c r="L35" s="47"/>
    </row>
    <row r="36" customFormat="false" ht="12.75" hidden="false" customHeight="false" outlineLevel="0" collapsed="false">
      <c r="A36" s="39" t="s">
        <v>677</v>
      </c>
      <c r="B36" s="79" t="n">
        <v>20210369268</v>
      </c>
      <c r="C36" s="80" t="s">
        <v>678</v>
      </c>
      <c r="D36" s="41" t="s">
        <v>601</v>
      </c>
      <c r="E36" s="41" t="s">
        <v>344</v>
      </c>
      <c r="F36" s="41" t="s">
        <v>679</v>
      </c>
      <c r="G36" s="41" t="s">
        <v>345</v>
      </c>
      <c r="H36" s="41" t="s">
        <v>413</v>
      </c>
      <c r="I36" s="40" t="n">
        <v>0</v>
      </c>
      <c r="J36" s="43" t="n">
        <v>44075</v>
      </c>
      <c r="K36" s="44"/>
      <c r="L36" s="44"/>
    </row>
    <row r="37" customFormat="false" ht="12.75" hidden="false" customHeight="false" outlineLevel="0" collapsed="false">
      <c r="A37" s="45" t="s">
        <v>680</v>
      </c>
      <c r="B37" s="52"/>
      <c r="C37" s="48" t="s">
        <v>128</v>
      </c>
      <c r="D37" s="48" t="s">
        <v>601</v>
      </c>
      <c r="E37" s="48" t="s">
        <v>344</v>
      </c>
      <c r="F37" s="48" t="s">
        <v>129</v>
      </c>
      <c r="G37" s="48" t="s">
        <v>345</v>
      </c>
      <c r="H37" s="48" t="s">
        <v>413</v>
      </c>
      <c r="I37" s="46" t="n">
        <v>0</v>
      </c>
      <c r="J37" s="49" t="n">
        <v>44075</v>
      </c>
      <c r="K37" s="47"/>
      <c r="L37" s="47"/>
    </row>
    <row r="38" customFormat="false" ht="12.75" hidden="false" customHeight="false" outlineLevel="0" collapsed="false">
      <c r="A38" s="39" t="s">
        <v>681</v>
      </c>
      <c r="B38" s="51"/>
      <c r="C38" s="41" t="s">
        <v>137</v>
      </c>
      <c r="D38" s="41" t="s">
        <v>601</v>
      </c>
      <c r="E38" s="41" t="s">
        <v>344</v>
      </c>
      <c r="F38" s="41" t="s">
        <v>138</v>
      </c>
      <c r="G38" s="41" t="s">
        <v>345</v>
      </c>
      <c r="H38" s="41" t="s">
        <v>413</v>
      </c>
      <c r="I38" s="40" t="n">
        <v>0</v>
      </c>
      <c r="J38" s="43" t="n">
        <v>44136</v>
      </c>
      <c r="K38" s="44"/>
      <c r="L38" s="44"/>
    </row>
    <row r="39" customFormat="false" ht="12.75" hidden="false" customHeight="false" outlineLevel="0" collapsed="false">
      <c r="A39" s="45" t="s">
        <v>682</v>
      </c>
      <c r="B39" s="52"/>
      <c r="C39" s="48" t="s">
        <v>310</v>
      </c>
      <c r="D39" s="48" t="s">
        <v>601</v>
      </c>
      <c r="E39" s="48" t="s">
        <v>344</v>
      </c>
      <c r="F39" s="48" t="s">
        <v>311</v>
      </c>
      <c r="G39" s="48" t="s">
        <v>345</v>
      </c>
      <c r="H39" s="48" t="s">
        <v>413</v>
      </c>
      <c r="I39" s="46" t="n">
        <v>0</v>
      </c>
      <c r="J39" s="49" t="n">
        <v>44136</v>
      </c>
      <c r="K39" s="47"/>
      <c r="L39" s="47"/>
    </row>
    <row r="40" customFormat="false" ht="12.75" hidden="false" customHeight="false" outlineLevel="0" collapsed="false">
      <c r="A40" s="39" t="s">
        <v>683</v>
      </c>
      <c r="B40" s="51"/>
      <c r="C40" s="41" t="s">
        <v>684</v>
      </c>
      <c r="D40" s="41" t="s">
        <v>601</v>
      </c>
      <c r="E40" s="41" t="s">
        <v>344</v>
      </c>
      <c r="F40" s="41" t="s">
        <v>685</v>
      </c>
      <c r="G40" s="41" t="s">
        <v>345</v>
      </c>
      <c r="H40" s="41" t="s">
        <v>413</v>
      </c>
      <c r="I40" s="40" t="n">
        <v>0</v>
      </c>
      <c r="J40" s="43" t="n">
        <v>44136</v>
      </c>
      <c r="K40" s="44"/>
      <c r="L40" s="44"/>
    </row>
    <row r="41" customFormat="false" ht="12.75" hidden="false" customHeight="false" outlineLevel="0" collapsed="false">
      <c r="A41" s="45" t="s">
        <v>686</v>
      </c>
      <c r="B41" s="52"/>
      <c r="C41" s="48" t="s">
        <v>687</v>
      </c>
      <c r="D41" s="48" t="s">
        <v>601</v>
      </c>
      <c r="E41" s="48" t="s">
        <v>344</v>
      </c>
      <c r="F41" s="48" t="s">
        <v>688</v>
      </c>
      <c r="G41" s="48" t="s">
        <v>345</v>
      </c>
      <c r="H41" s="48" t="s">
        <v>413</v>
      </c>
      <c r="I41" s="46" t="n">
        <v>0</v>
      </c>
      <c r="J41" s="49" t="n">
        <v>44136</v>
      </c>
      <c r="K41" s="47"/>
      <c r="L41" s="47"/>
    </row>
    <row r="42" customFormat="false" ht="12.75" hidden="false" customHeight="false" outlineLevel="0" collapsed="false">
      <c r="A42" s="39" t="s">
        <v>689</v>
      </c>
      <c r="B42" s="51"/>
      <c r="C42" s="41" t="s">
        <v>690</v>
      </c>
      <c r="D42" s="41" t="s">
        <v>601</v>
      </c>
      <c r="E42" s="41" t="s">
        <v>344</v>
      </c>
      <c r="F42" s="41" t="s">
        <v>691</v>
      </c>
      <c r="G42" s="41" t="s">
        <v>345</v>
      </c>
      <c r="H42" s="41" t="s">
        <v>413</v>
      </c>
      <c r="I42" s="40" t="n">
        <v>0</v>
      </c>
      <c r="J42" s="43" t="n">
        <v>44136</v>
      </c>
      <c r="K42" s="44"/>
      <c r="L42" s="44"/>
    </row>
    <row r="43" customFormat="false" ht="12.75" hidden="false" customHeight="false" outlineLevel="0" collapsed="false">
      <c r="A43" s="45" t="s">
        <v>692</v>
      </c>
      <c r="B43" s="29"/>
      <c r="C43" s="48" t="s">
        <v>693</v>
      </c>
      <c r="D43" s="48" t="s">
        <v>601</v>
      </c>
      <c r="E43" s="48" t="s">
        <v>344</v>
      </c>
      <c r="F43" s="48" t="s">
        <v>694</v>
      </c>
      <c r="G43" s="48" t="s">
        <v>345</v>
      </c>
      <c r="H43" s="48" t="s">
        <v>413</v>
      </c>
      <c r="I43" s="46" t="n">
        <v>0</v>
      </c>
      <c r="J43" s="49" t="n">
        <v>44136</v>
      </c>
      <c r="K43" s="47"/>
      <c r="L43" s="47"/>
    </row>
    <row r="44" customFormat="false" ht="12.75" hidden="false" customHeight="false" outlineLevel="0" collapsed="false">
      <c r="A44" s="39" t="s">
        <v>695</v>
      </c>
      <c r="B44" s="51"/>
      <c r="C44" s="41" t="s">
        <v>696</v>
      </c>
      <c r="D44" s="41" t="s">
        <v>601</v>
      </c>
      <c r="E44" s="41" t="s">
        <v>344</v>
      </c>
      <c r="F44" s="41" t="s">
        <v>697</v>
      </c>
      <c r="G44" s="41" t="s">
        <v>345</v>
      </c>
      <c r="H44" s="41" t="s">
        <v>413</v>
      </c>
      <c r="I44" s="40" t="n">
        <v>0</v>
      </c>
      <c r="J44" s="43" t="n">
        <v>44136</v>
      </c>
      <c r="K44" s="44"/>
      <c r="L44" s="44"/>
    </row>
    <row r="45" customFormat="false" ht="12.75" hidden="false" customHeight="false" outlineLevel="0" collapsed="false">
      <c r="A45" s="45" t="s">
        <v>698</v>
      </c>
      <c r="B45" s="52"/>
      <c r="C45" s="48" t="s">
        <v>97</v>
      </c>
      <c r="D45" s="48" t="s">
        <v>601</v>
      </c>
      <c r="E45" s="48" t="s">
        <v>344</v>
      </c>
      <c r="F45" s="48"/>
      <c r="G45" s="48" t="s">
        <v>345</v>
      </c>
      <c r="H45" s="48" t="s">
        <v>413</v>
      </c>
      <c r="I45" s="46" t="n">
        <v>0</v>
      </c>
      <c r="J45" s="49" t="n">
        <v>44136</v>
      </c>
      <c r="K45" s="47"/>
      <c r="L45" s="47"/>
    </row>
    <row r="46" customFormat="false" ht="12.75" hidden="false" customHeight="false" outlineLevel="0" collapsed="false">
      <c r="A46" s="39" t="s">
        <v>699</v>
      </c>
      <c r="B46" s="51"/>
      <c r="C46" s="41" t="s">
        <v>160</v>
      </c>
      <c r="D46" s="41" t="s">
        <v>601</v>
      </c>
      <c r="E46" s="41" t="s">
        <v>344</v>
      </c>
      <c r="F46" s="41" t="s">
        <v>392</v>
      </c>
      <c r="G46" s="41" t="s">
        <v>345</v>
      </c>
      <c r="H46" s="41" t="s">
        <v>413</v>
      </c>
      <c r="I46" s="40" t="n">
        <v>0</v>
      </c>
      <c r="J46" s="43" t="n">
        <v>44136</v>
      </c>
      <c r="K46" s="44"/>
      <c r="L46" s="44"/>
    </row>
    <row r="47" customFormat="false" ht="12.75" hidden="false" customHeight="false" outlineLevel="0" collapsed="false">
      <c r="A47" s="45" t="s">
        <v>700</v>
      </c>
      <c r="B47" s="52"/>
      <c r="C47" s="48" t="s">
        <v>157</v>
      </c>
      <c r="D47" s="48" t="s">
        <v>601</v>
      </c>
      <c r="E47" s="48" t="s">
        <v>344</v>
      </c>
      <c r="F47" s="48" t="s">
        <v>158</v>
      </c>
      <c r="G47" s="48" t="s">
        <v>345</v>
      </c>
      <c r="H47" s="48" t="s">
        <v>413</v>
      </c>
      <c r="I47" s="46" t="n">
        <v>0</v>
      </c>
      <c r="J47" s="49" t="n">
        <v>44136</v>
      </c>
      <c r="K47" s="47"/>
      <c r="L47" s="47"/>
    </row>
    <row r="48" customFormat="false" ht="12.75" hidden="false" customHeight="false" outlineLevel="0" collapsed="false">
      <c r="A48" s="39" t="s">
        <v>701</v>
      </c>
      <c r="B48" s="51"/>
      <c r="C48" s="41" t="s">
        <v>702</v>
      </c>
      <c r="D48" s="41" t="s">
        <v>601</v>
      </c>
      <c r="E48" s="41" t="s">
        <v>344</v>
      </c>
      <c r="F48" s="41" t="s">
        <v>703</v>
      </c>
      <c r="G48" s="41" t="s">
        <v>345</v>
      </c>
      <c r="H48" s="41" t="s">
        <v>413</v>
      </c>
      <c r="I48" s="40" t="n">
        <v>0</v>
      </c>
      <c r="J48" s="43" t="n">
        <v>44136</v>
      </c>
      <c r="K48" s="44"/>
      <c r="L48" s="44"/>
    </row>
    <row r="49" customFormat="false" ht="12.75" hidden="false" customHeight="false" outlineLevel="0" collapsed="false">
      <c r="A49" s="45" t="s">
        <v>704</v>
      </c>
      <c r="B49" s="52"/>
      <c r="C49" s="48" t="s">
        <v>705</v>
      </c>
      <c r="D49" s="48" t="s">
        <v>601</v>
      </c>
      <c r="E49" s="48" t="s">
        <v>344</v>
      </c>
      <c r="F49" s="48" t="s">
        <v>706</v>
      </c>
      <c r="G49" s="48" t="s">
        <v>345</v>
      </c>
      <c r="H49" s="48" t="s">
        <v>413</v>
      </c>
      <c r="I49" s="46" t="n">
        <v>0</v>
      </c>
      <c r="J49" s="49" t="n">
        <v>44136</v>
      </c>
      <c r="K49" s="47"/>
      <c r="L49" s="47"/>
    </row>
    <row r="50" customFormat="false" ht="12.75" hidden="false" customHeight="false" outlineLevel="0" collapsed="false">
      <c r="A50" s="39" t="s">
        <v>707</v>
      </c>
      <c r="B50" s="51"/>
      <c r="C50" s="41" t="s">
        <v>708</v>
      </c>
      <c r="D50" s="41" t="s">
        <v>601</v>
      </c>
      <c r="E50" s="41" t="s">
        <v>344</v>
      </c>
      <c r="F50" s="41" t="s">
        <v>709</v>
      </c>
      <c r="G50" s="41" t="s">
        <v>345</v>
      </c>
      <c r="H50" s="41" t="s">
        <v>413</v>
      </c>
      <c r="I50" s="40" t="n">
        <v>0</v>
      </c>
      <c r="J50" s="43" t="n">
        <v>44136</v>
      </c>
      <c r="K50" s="44"/>
      <c r="L50" s="44"/>
    </row>
    <row r="51" customFormat="false" ht="12.75" hidden="false" customHeight="false" outlineLevel="0" collapsed="false">
      <c r="A51" s="45" t="s">
        <v>710</v>
      </c>
      <c r="B51" s="52"/>
      <c r="C51" s="48" t="s">
        <v>711</v>
      </c>
      <c r="D51" s="48" t="s">
        <v>601</v>
      </c>
      <c r="E51" s="48" t="s">
        <v>344</v>
      </c>
      <c r="F51" s="48" t="s">
        <v>712</v>
      </c>
      <c r="G51" s="48" t="s">
        <v>345</v>
      </c>
      <c r="H51" s="48" t="s">
        <v>413</v>
      </c>
      <c r="I51" s="46" t="n">
        <v>0</v>
      </c>
      <c r="J51" s="49" t="n">
        <v>44136</v>
      </c>
      <c r="K51" s="47"/>
      <c r="L51" s="47"/>
    </row>
    <row r="52" customFormat="false" ht="12.75" hidden="false" customHeight="false" outlineLevel="0" collapsed="false">
      <c r="A52" s="39" t="s">
        <v>713</v>
      </c>
      <c r="B52" s="51"/>
      <c r="C52" s="41" t="s">
        <v>714</v>
      </c>
      <c r="D52" s="41" t="s">
        <v>601</v>
      </c>
      <c r="E52" s="41" t="s">
        <v>344</v>
      </c>
      <c r="F52" s="41" t="s">
        <v>715</v>
      </c>
      <c r="G52" s="41" t="s">
        <v>345</v>
      </c>
      <c r="H52" s="41" t="s">
        <v>413</v>
      </c>
      <c r="I52" s="40" t="n">
        <v>0</v>
      </c>
      <c r="J52" s="43" t="n">
        <v>44136</v>
      </c>
      <c r="K52" s="44"/>
      <c r="L52" s="44"/>
    </row>
    <row r="53" customFormat="false" ht="12.75" hidden="false" customHeight="false" outlineLevel="0" collapsed="false">
      <c r="A53" s="45" t="s">
        <v>716</v>
      </c>
      <c r="B53" s="52"/>
      <c r="C53" s="48" t="s">
        <v>167</v>
      </c>
      <c r="D53" s="48" t="s">
        <v>601</v>
      </c>
      <c r="E53" s="48" t="s">
        <v>344</v>
      </c>
      <c r="F53" s="48" t="s">
        <v>168</v>
      </c>
      <c r="G53" s="48" t="s">
        <v>345</v>
      </c>
      <c r="H53" s="48" t="s">
        <v>413</v>
      </c>
      <c r="I53" s="46" t="n">
        <v>0</v>
      </c>
      <c r="J53" s="49" t="n">
        <v>44136</v>
      </c>
      <c r="K53" s="47"/>
      <c r="L53" s="47"/>
    </row>
    <row r="54" customFormat="false" ht="12.75" hidden="false" customHeight="false" outlineLevel="0" collapsed="false">
      <c r="A54" s="39" t="s">
        <v>717</v>
      </c>
      <c r="B54" s="51"/>
      <c r="C54" s="41" t="s">
        <v>172</v>
      </c>
      <c r="D54" s="41" t="s">
        <v>601</v>
      </c>
      <c r="E54" s="41" t="s">
        <v>344</v>
      </c>
      <c r="F54" s="41" t="s">
        <v>173</v>
      </c>
      <c r="G54" s="41" t="s">
        <v>345</v>
      </c>
      <c r="H54" s="41" t="s">
        <v>413</v>
      </c>
      <c r="I54" s="40" t="n">
        <v>0</v>
      </c>
      <c r="J54" s="43" t="n">
        <v>44136</v>
      </c>
      <c r="K54" s="44"/>
      <c r="L54" s="44"/>
    </row>
    <row r="55" customFormat="false" ht="12.75" hidden="false" customHeight="false" outlineLevel="0" collapsed="false">
      <c r="A55" s="45" t="s">
        <v>718</v>
      </c>
      <c r="B55" s="52"/>
      <c r="C55" s="48" t="s">
        <v>719</v>
      </c>
      <c r="D55" s="48" t="s">
        <v>601</v>
      </c>
      <c r="E55" s="48" t="s">
        <v>344</v>
      </c>
      <c r="F55" s="48" t="s">
        <v>720</v>
      </c>
      <c r="G55" s="48" t="s">
        <v>345</v>
      </c>
      <c r="H55" s="48" t="s">
        <v>413</v>
      </c>
      <c r="I55" s="46" t="n">
        <v>0</v>
      </c>
      <c r="J55" s="49" t="n">
        <v>44630</v>
      </c>
      <c r="K55" s="47"/>
      <c r="L55" s="47"/>
    </row>
    <row r="56" customFormat="false" ht="12.75" hidden="false" customHeight="false" outlineLevel="0" collapsed="false">
      <c r="A56" s="39" t="s">
        <v>721</v>
      </c>
      <c r="B56" s="51"/>
      <c r="C56" s="41" t="s">
        <v>50</v>
      </c>
      <c r="D56" s="41" t="s">
        <v>601</v>
      </c>
      <c r="E56" s="41" t="s">
        <v>344</v>
      </c>
      <c r="F56" s="41" t="s">
        <v>722</v>
      </c>
      <c r="G56" s="41" t="s">
        <v>345</v>
      </c>
      <c r="H56" s="41" t="s">
        <v>413</v>
      </c>
      <c r="I56" s="40" t="n">
        <v>0</v>
      </c>
      <c r="J56" s="43" t="n">
        <v>44136</v>
      </c>
      <c r="K56" s="44"/>
      <c r="L56" s="44"/>
    </row>
    <row r="57" customFormat="false" ht="12.75" hidden="false" customHeight="false" outlineLevel="0" collapsed="false">
      <c r="A57" s="45" t="s">
        <v>723</v>
      </c>
      <c r="B57" s="52"/>
      <c r="C57" s="48" t="s">
        <v>724</v>
      </c>
      <c r="D57" s="48" t="s">
        <v>601</v>
      </c>
      <c r="E57" s="48" t="s">
        <v>344</v>
      </c>
      <c r="F57" s="48" t="s">
        <v>725</v>
      </c>
      <c r="G57" s="48" t="s">
        <v>345</v>
      </c>
      <c r="H57" s="48" t="s">
        <v>413</v>
      </c>
      <c r="I57" s="46" t="n">
        <v>1</v>
      </c>
      <c r="J57" s="49" t="n">
        <v>44136</v>
      </c>
      <c r="K57" s="47"/>
      <c r="L57" s="47"/>
    </row>
    <row r="58" customFormat="false" ht="12.75" hidden="false" customHeight="false" outlineLevel="0" collapsed="false">
      <c r="A58" s="39" t="s">
        <v>726</v>
      </c>
      <c r="B58" s="51"/>
      <c r="C58" s="41" t="s">
        <v>184</v>
      </c>
      <c r="D58" s="41" t="s">
        <v>601</v>
      </c>
      <c r="E58" s="41" t="s">
        <v>344</v>
      </c>
      <c r="F58" s="41" t="s">
        <v>185</v>
      </c>
      <c r="G58" s="41" t="s">
        <v>345</v>
      </c>
      <c r="H58" s="41" t="s">
        <v>413</v>
      </c>
      <c r="I58" s="40" t="n">
        <v>0</v>
      </c>
      <c r="J58" s="43" t="n">
        <v>44197</v>
      </c>
      <c r="K58" s="44"/>
      <c r="L58" s="44"/>
    </row>
    <row r="59" customFormat="false" ht="12.75" hidden="false" customHeight="false" outlineLevel="0" collapsed="false">
      <c r="A59" s="45" t="s">
        <v>727</v>
      </c>
      <c r="B59" s="52"/>
      <c r="C59" s="48" t="s">
        <v>188</v>
      </c>
      <c r="D59" s="48" t="s">
        <v>601</v>
      </c>
      <c r="E59" s="48" t="s">
        <v>344</v>
      </c>
      <c r="F59" s="48" t="s">
        <v>728</v>
      </c>
      <c r="G59" s="48" t="s">
        <v>345</v>
      </c>
      <c r="H59" s="48" t="s">
        <v>413</v>
      </c>
      <c r="I59" s="46" t="n">
        <v>0</v>
      </c>
      <c r="J59" s="49" t="n">
        <v>44287</v>
      </c>
      <c r="K59" s="47"/>
      <c r="L59" s="47"/>
    </row>
    <row r="60" s="55" customFormat="true" ht="12.75" hidden="false" customHeight="false" outlineLevel="0" collapsed="false">
      <c r="A60" s="69" t="s">
        <v>729</v>
      </c>
      <c r="B60" s="70"/>
      <c r="C60" s="70" t="s">
        <v>545</v>
      </c>
      <c r="D60" s="71" t="s">
        <v>730</v>
      </c>
      <c r="E60" s="71" t="s">
        <v>344</v>
      </c>
      <c r="F60" s="70" t="s">
        <v>546</v>
      </c>
      <c r="G60" s="71" t="s">
        <v>345</v>
      </c>
      <c r="H60" s="71" t="s">
        <v>413</v>
      </c>
      <c r="I60" s="72" t="n">
        <v>0</v>
      </c>
      <c r="J60" s="73" t="n">
        <v>44409</v>
      </c>
      <c r="K60" s="44"/>
      <c r="L60" s="44"/>
    </row>
    <row r="61" customFormat="false" ht="12.75" hidden="false" customHeight="false" outlineLevel="0" collapsed="false">
      <c r="A61" s="45" t="s">
        <v>731</v>
      </c>
      <c r="B61" s="52"/>
      <c r="C61" s="48" t="s">
        <v>412</v>
      </c>
      <c r="D61" s="48" t="s">
        <v>730</v>
      </c>
      <c r="E61" s="48" t="s">
        <v>344</v>
      </c>
      <c r="F61" s="52" t="s">
        <v>550</v>
      </c>
      <c r="G61" s="48" t="s">
        <v>345</v>
      </c>
      <c r="H61" s="48" t="s">
        <v>413</v>
      </c>
      <c r="I61" s="46"/>
      <c r="J61" s="49" t="n">
        <v>44317</v>
      </c>
      <c r="K61" s="47"/>
      <c r="L61" s="47"/>
    </row>
    <row r="62" s="32" customFormat="true" ht="12.75" hidden="false" customHeight="false" outlineLevel="0" collapsed="false">
      <c r="A62" s="39" t="s">
        <v>732</v>
      </c>
      <c r="B62" s="51"/>
      <c r="C62" s="51" t="s">
        <v>204</v>
      </c>
      <c r="D62" s="41" t="s">
        <v>730</v>
      </c>
      <c r="E62" s="41" t="s">
        <v>344</v>
      </c>
      <c r="F62" s="51" t="s">
        <v>205</v>
      </c>
      <c r="G62" s="41" t="s">
        <v>345</v>
      </c>
      <c r="H62" s="41" t="s">
        <v>413</v>
      </c>
      <c r="I62" s="40" t="n">
        <v>0</v>
      </c>
      <c r="J62" s="43" t="n">
        <v>44348</v>
      </c>
      <c r="K62" s="44"/>
      <c r="L62" s="44"/>
    </row>
    <row r="63" customFormat="false" ht="12.75" hidden="false" customHeight="false" outlineLevel="0" collapsed="false">
      <c r="A63" s="45" t="s">
        <v>733</v>
      </c>
      <c r="B63" s="52"/>
      <c r="C63" s="29" t="s">
        <v>208</v>
      </c>
      <c r="D63" s="48" t="s">
        <v>730</v>
      </c>
      <c r="E63" s="48" t="s">
        <v>344</v>
      </c>
      <c r="F63" s="48" t="s">
        <v>209</v>
      </c>
      <c r="G63" s="48" t="s">
        <v>345</v>
      </c>
      <c r="H63" s="48" t="s">
        <v>413</v>
      </c>
      <c r="I63" s="46" t="n">
        <v>0</v>
      </c>
      <c r="J63" s="68" t="n">
        <v>44409</v>
      </c>
      <c r="K63" s="47"/>
      <c r="L63" s="47"/>
    </row>
    <row r="64" customFormat="false" ht="12.75" hidden="false" customHeight="false" outlineLevel="0" collapsed="false">
      <c r="A64" s="39" t="s">
        <v>734</v>
      </c>
      <c r="B64" s="51"/>
      <c r="C64" s="27" t="s">
        <v>735</v>
      </c>
      <c r="D64" s="41" t="s">
        <v>730</v>
      </c>
      <c r="E64" s="41" t="s">
        <v>344</v>
      </c>
      <c r="F64" s="41" t="s">
        <v>736</v>
      </c>
      <c r="G64" s="41" t="s">
        <v>345</v>
      </c>
      <c r="H64" s="41" t="s">
        <v>413</v>
      </c>
      <c r="I64" s="40" t="n">
        <v>0</v>
      </c>
      <c r="J64" s="73" t="n">
        <v>44409</v>
      </c>
      <c r="K64" s="44"/>
      <c r="L64" s="44"/>
    </row>
    <row r="65" customFormat="false" ht="12.75" hidden="false" customHeight="false" outlineLevel="0" collapsed="false">
      <c r="A65" s="45" t="s">
        <v>737</v>
      </c>
      <c r="B65" s="52"/>
      <c r="C65" s="45" t="s">
        <v>218</v>
      </c>
      <c r="D65" s="48" t="s">
        <v>730</v>
      </c>
      <c r="E65" s="48" t="s">
        <v>344</v>
      </c>
      <c r="F65" s="48" t="s">
        <v>421</v>
      </c>
      <c r="G65" s="48" t="s">
        <v>345</v>
      </c>
      <c r="H65" s="48" t="s">
        <v>413</v>
      </c>
      <c r="I65" s="46"/>
      <c r="J65" s="68" t="n">
        <v>44440</v>
      </c>
      <c r="K65" s="47"/>
      <c r="L65" s="47"/>
    </row>
    <row r="66" customFormat="false" ht="12.75" hidden="false" customHeight="false" outlineLevel="0" collapsed="false">
      <c r="A66" s="39" t="s">
        <v>738</v>
      </c>
      <c r="B66" s="51"/>
      <c r="C66" s="27" t="s">
        <v>423</v>
      </c>
      <c r="D66" s="41" t="s">
        <v>730</v>
      </c>
      <c r="E66" s="41" t="s">
        <v>344</v>
      </c>
      <c r="F66" s="27" t="s">
        <v>739</v>
      </c>
      <c r="G66" s="41" t="s">
        <v>345</v>
      </c>
      <c r="H66" s="41" t="s">
        <v>413</v>
      </c>
      <c r="I66" s="40"/>
      <c r="J66" s="81"/>
      <c r="K66" s="44"/>
      <c r="L66" s="44"/>
    </row>
    <row r="67" customFormat="false" ht="12.75" hidden="false" customHeight="false" outlineLevel="0" collapsed="false">
      <c r="A67" s="45" t="s">
        <v>740</v>
      </c>
      <c r="B67" s="52"/>
      <c r="C67" s="48" t="s">
        <v>224</v>
      </c>
      <c r="D67" s="48" t="s">
        <v>730</v>
      </c>
      <c r="E67" s="48" t="s">
        <v>344</v>
      </c>
      <c r="F67" s="29" t="s">
        <v>426</v>
      </c>
      <c r="G67" s="48" t="s">
        <v>345</v>
      </c>
      <c r="H67" s="48" t="s">
        <v>413</v>
      </c>
      <c r="I67" s="46"/>
      <c r="J67" s="49"/>
      <c r="K67" s="47"/>
      <c r="L67" s="47"/>
    </row>
    <row r="68" customFormat="false" ht="12.75" hidden="false" customHeight="false" outlineLevel="0" collapsed="false">
      <c r="A68" s="39" t="s">
        <v>741</v>
      </c>
      <c r="B68" s="51"/>
      <c r="C68" s="51" t="s">
        <v>227</v>
      </c>
      <c r="D68" s="41" t="s">
        <v>730</v>
      </c>
      <c r="E68" s="41" t="s">
        <v>344</v>
      </c>
      <c r="F68" s="51" t="s">
        <v>228</v>
      </c>
      <c r="G68" s="41" t="s">
        <v>345</v>
      </c>
      <c r="H68" s="41" t="s">
        <v>413</v>
      </c>
      <c r="I68" s="40" t="n">
        <v>0</v>
      </c>
      <c r="J68" s="74" t="n">
        <v>44533</v>
      </c>
      <c r="K68" s="44"/>
      <c r="L68" s="44"/>
    </row>
    <row r="69" customFormat="false" ht="12.75" hidden="false" customHeight="false" outlineLevel="0" collapsed="false">
      <c r="A69" s="45" t="s">
        <v>742</v>
      </c>
      <c r="B69" s="52"/>
      <c r="C69" s="48" t="s">
        <v>231</v>
      </c>
      <c r="D69" s="48" t="s">
        <v>730</v>
      </c>
      <c r="E69" s="48" t="s">
        <v>344</v>
      </c>
      <c r="F69" s="48" t="s">
        <v>232</v>
      </c>
      <c r="G69" s="48" t="s">
        <v>345</v>
      </c>
      <c r="H69" s="48" t="s">
        <v>413</v>
      </c>
      <c r="I69" s="46" t="n">
        <v>0</v>
      </c>
      <c r="J69" s="68" t="n">
        <v>44533</v>
      </c>
      <c r="K69" s="47"/>
      <c r="L69" s="47"/>
    </row>
    <row r="70" customFormat="false" ht="12.75" hidden="false" customHeight="false" outlineLevel="0" collapsed="false">
      <c r="A70" s="39" t="s">
        <v>743</v>
      </c>
      <c r="B70" s="51"/>
      <c r="C70" s="41" t="s">
        <v>430</v>
      </c>
      <c r="D70" s="41" t="s">
        <v>730</v>
      </c>
      <c r="E70" s="41" t="s">
        <v>344</v>
      </c>
      <c r="F70" s="41" t="s">
        <v>235</v>
      </c>
      <c r="G70" s="41" t="s">
        <v>345</v>
      </c>
      <c r="H70" s="41" t="s">
        <v>413</v>
      </c>
      <c r="I70" s="40" t="n">
        <v>0</v>
      </c>
      <c r="J70" s="74" t="n">
        <v>44564</v>
      </c>
      <c r="K70" s="44"/>
      <c r="L70" s="44"/>
    </row>
    <row r="71" customFormat="false" ht="12.75" hidden="false" customHeight="false" outlineLevel="0" collapsed="false">
      <c r="A71" s="45" t="s">
        <v>744</v>
      </c>
      <c r="B71" s="52"/>
      <c r="C71" s="48" t="s">
        <v>745</v>
      </c>
      <c r="D71" s="48" t="s">
        <v>730</v>
      </c>
      <c r="E71" s="48" t="s">
        <v>344</v>
      </c>
      <c r="F71" s="48" t="s">
        <v>433</v>
      </c>
      <c r="G71" s="48" t="s">
        <v>345</v>
      </c>
      <c r="H71" s="48" t="s">
        <v>413</v>
      </c>
      <c r="I71" s="46" t="n">
        <v>0</v>
      </c>
      <c r="J71" s="68" t="n">
        <v>44564</v>
      </c>
      <c r="K71" s="47"/>
      <c r="L71" s="47"/>
    </row>
    <row r="72" customFormat="false" ht="12.75" hidden="false" customHeight="false" outlineLevel="0" collapsed="false">
      <c r="A72" s="39" t="s">
        <v>746</v>
      </c>
      <c r="B72" s="51"/>
      <c r="C72" s="41" t="s">
        <v>242</v>
      </c>
      <c r="D72" s="41" t="s">
        <v>730</v>
      </c>
      <c r="E72" s="41" t="s">
        <v>344</v>
      </c>
      <c r="F72" s="41" t="s">
        <v>436</v>
      </c>
      <c r="G72" s="41" t="s">
        <v>345</v>
      </c>
      <c r="H72" s="41" t="s">
        <v>413</v>
      </c>
      <c r="I72" s="40" t="n">
        <v>0</v>
      </c>
      <c r="J72" s="74" t="n">
        <v>44595</v>
      </c>
      <c r="K72" s="44"/>
      <c r="L72" s="44"/>
    </row>
    <row r="73" customFormat="false" ht="12.75" hidden="false" customHeight="false" outlineLevel="0" collapsed="false">
      <c r="A73" s="45" t="s">
        <v>747</v>
      </c>
      <c r="B73" s="52"/>
      <c r="C73" s="48" t="s">
        <v>245</v>
      </c>
      <c r="D73" s="48" t="s">
        <v>730</v>
      </c>
      <c r="E73" s="48" t="s">
        <v>344</v>
      </c>
      <c r="F73" s="48" t="s">
        <v>246</v>
      </c>
      <c r="G73" s="48" t="s">
        <v>345</v>
      </c>
      <c r="H73" s="48" t="s">
        <v>413</v>
      </c>
      <c r="I73" s="46" t="n">
        <v>0</v>
      </c>
      <c r="J73" s="68" t="n">
        <v>44595</v>
      </c>
      <c r="K73" s="47"/>
      <c r="L73" s="47"/>
    </row>
    <row r="74" customFormat="false" ht="12.75" hidden="false" customHeight="false" outlineLevel="0" collapsed="false">
      <c r="A74" s="39" t="s">
        <v>748</v>
      </c>
      <c r="B74" s="51"/>
      <c r="C74" s="41" t="s">
        <v>251</v>
      </c>
      <c r="D74" s="41" t="s">
        <v>730</v>
      </c>
      <c r="E74" s="41" t="s">
        <v>344</v>
      </c>
      <c r="F74" s="41" t="s">
        <v>749</v>
      </c>
      <c r="G74" s="41" t="s">
        <v>345</v>
      </c>
      <c r="H74" s="41" t="s">
        <v>413</v>
      </c>
      <c r="I74" s="40" t="n">
        <v>0</v>
      </c>
      <c r="J74" s="74" t="n">
        <v>44630</v>
      </c>
      <c r="K74" s="44"/>
      <c r="L74" s="44"/>
    </row>
    <row r="75" customFormat="false" ht="12.75" hidden="false" customHeight="false" outlineLevel="0" collapsed="false">
      <c r="A75" s="45" t="s">
        <v>750</v>
      </c>
      <c r="B75" s="52"/>
      <c r="C75" s="52" t="s">
        <v>255</v>
      </c>
      <c r="D75" s="48" t="s">
        <v>730</v>
      </c>
      <c r="E75" s="48" t="s">
        <v>344</v>
      </c>
      <c r="F75" s="48" t="s">
        <v>256</v>
      </c>
      <c r="G75" s="48" t="s">
        <v>345</v>
      </c>
      <c r="H75" s="48" t="s">
        <v>413</v>
      </c>
      <c r="I75" s="46" t="n">
        <v>0</v>
      </c>
      <c r="J75" s="68" t="n">
        <v>44630</v>
      </c>
      <c r="K75" s="47"/>
      <c r="L75" s="47"/>
    </row>
    <row r="76" customFormat="false" ht="12.75" hidden="false" customHeight="false" outlineLevel="0" collapsed="false">
      <c r="A76" s="39" t="s">
        <v>751</v>
      </c>
      <c r="B76" s="51"/>
      <c r="C76" s="41" t="s">
        <v>248</v>
      </c>
      <c r="D76" s="41" t="s">
        <v>730</v>
      </c>
      <c r="E76" s="41" t="s">
        <v>344</v>
      </c>
      <c r="F76" s="41" t="s">
        <v>249</v>
      </c>
      <c r="G76" s="41" t="s">
        <v>345</v>
      </c>
      <c r="H76" s="41" t="s">
        <v>413</v>
      </c>
      <c r="I76" s="40" t="n">
        <v>0</v>
      </c>
      <c r="J76" s="74" t="n">
        <v>44630</v>
      </c>
      <c r="K76" s="44"/>
      <c r="L76" s="44"/>
    </row>
    <row r="77" customFormat="false" ht="12.75" hidden="false" customHeight="false" outlineLevel="0" collapsed="false">
      <c r="A77" s="45" t="s">
        <v>752</v>
      </c>
      <c r="B77" s="52"/>
      <c r="C77" s="52" t="s">
        <v>258</v>
      </c>
      <c r="D77" s="48" t="s">
        <v>730</v>
      </c>
      <c r="E77" s="48" t="s">
        <v>344</v>
      </c>
      <c r="F77" s="52" t="s">
        <v>259</v>
      </c>
      <c r="G77" s="48" t="s">
        <v>345</v>
      </c>
      <c r="H77" s="48" t="s">
        <v>413</v>
      </c>
      <c r="I77" s="46" t="n">
        <v>0</v>
      </c>
      <c r="J77" s="68" t="n">
        <v>44630</v>
      </c>
      <c r="K77" s="47"/>
      <c r="L77" s="47"/>
    </row>
    <row r="78" customFormat="false" ht="12.75" hidden="false" customHeight="false" outlineLevel="0" collapsed="false">
      <c r="A78" s="39" t="s">
        <v>753</v>
      </c>
      <c r="B78" s="51"/>
      <c r="C78" s="51" t="s">
        <v>754</v>
      </c>
      <c r="D78" s="41" t="s">
        <v>730</v>
      </c>
      <c r="E78" s="41" t="s">
        <v>344</v>
      </c>
      <c r="F78" s="51" t="s">
        <v>271</v>
      </c>
      <c r="G78" s="41" t="s">
        <v>345</v>
      </c>
      <c r="H78" s="41" t="s">
        <v>413</v>
      </c>
      <c r="I78" s="40" t="n">
        <v>0</v>
      </c>
      <c r="J78" s="74" t="n">
        <v>44630</v>
      </c>
      <c r="K78" s="44"/>
      <c r="L78" s="44"/>
    </row>
    <row r="79" customFormat="false" ht="12.75" hidden="false" customHeight="false" outlineLevel="0" collapsed="false">
      <c r="A79" s="45" t="s">
        <v>755</v>
      </c>
      <c r="B79" s="52"/>
      <c r="C79" s="52" t="s">
        <v>278</v>
      </c>
      <c r="D79" s="48" t="s">
        <v>730</v>
      </c>
      <c r="E79" s="48" t="s">
        <v>344</v>
      </c>
      <c r="F79" s="48" t="s">
        <v>274</v>
      </c>
      <c r="G79" s="48" t="s">
        <v>345</v>
      </c>
      <c r="H79" s="48" t="s">
        <v>413</v>
      </c>
      <c r="I79" s="46" t="n">
        <v>0</v>
      </c>
      <c r="J79" s="68" t="n">
        <v>44783</v>
      </c>
      <c r="K79" s="47"/>
      <c r="L79" s="47"/>
    </row>
    <row r="80" customFormat="false" ht="12.75" hidden="false" customHeight="false" outlineLevel="0" collapsed="false">
      <c r="A80" s="39" t="s">
        <v>756</v>
      </c>
      <c r="B80" s="51"/>
      <c r="C80" s="51" t="s">
        <v>578</v>
      </c>
      <c r="D80" s="41" t="s">
        <v>730</v>
      </c>
      <c r="E80" s="41" t="s">
        <v>344</v>
      </c>
      <c r="F80" s="27" t="s">
        <v>445</v>
      </c>
      <c r="G80" s="41" t="s">
        <v>345</v>
      </c>
      <c r="H80" s="41" t="s">
        <v>413</v>
      </c>
      <c r="I80" s="40" t="n">
        <v>0</v>
      </c>
      <c r="J80" s="74" t="n">
        <v>44783</v>
      </c>
      <c r="K80" s="44"/>
      <c r="L80" s="44"/>
    </row>
    <row r="81" customFormat="false" ht="12.75" hidden="false" customHeight="false" outlineLevel="0" collapsed="false">
      <c r="A81" s="45" t="s">
        <v>757</v>
      </c>
      <c r="B81" s="29"/>
      <c r="C81" s="48"/>
      <c r="D81" s="48" t="s">
        <v>730</v>
      </c>
      <c r="E81" s="48" t="s">
        <v>344</v>
      </c>
      <c r="F81" s="48"/>
      <c r="G81" s="48" t="s">
        <v>345</v>
      </c>
      <c r="H81" s="48" t="s">
        <v>413</v>
      </c>
      <c r="I81" s="46" t="n">
        <v>0</v>
      </c>
      <c r="J81" s="68" t="n">
        <v>44783</v>
      </c>
      <c r="K81" s="47"/>
      <c r="L81" s="47"/>
    </row>
    <row r="82" customFormat="false" ht="12.75" hidden="false" customHeight="false" outlineLevel="0" collapsed="false">
      <c r="A82" s="39" t="s">
        <v>758</v>
      </c>
      <c r="B82" s="51"/>
      <c r="C82" s="27" t="s">
        <v>288</v>
      </c>
      <c r="D82" s="41" t="s">
        <v>730</v>
      </c>
      <c r="E82" s="41" t="s">
        <v>344</v>
      </c>
      <c r="F82" s="27" t="s">
        <v>449</v>
      </c>
      <c r="G82" s="41" t="s">
        <v>345</v>
      </c>
      <c r="H82" s="41" t="s">
        <v>413</v>
      </c>
      <c r="I82" s="40" t="n">
        <v>0</v>
      </c>
      <c r="J82" s="74" t="n">
        <v>44844</v>
      </c>
      <c r="K82" s="44"/>
      <c r="L82" s="44"/>
    </row>
    <row r="83" customFormat="false" ht="12.75" hidden="false" customHeight="false" outlineLevel="0" collapsed="false">
      <c r="A83" s="45" t="s">
        <v>759</v>
      </c>
      <c r="B83" s="52"/>
      <c r="C83" s="48"/>
      <c r="D83" s="48"/>
      <c r="E83" s="48"/>
      <c r="F83" s="48"/>
      <c r="G83" s="48"/>
      <c r="H83" s="48"/>
      <c r="I83" s="46"/>
      <c r="J83" s="49"/>
      <c r="K83" s="47"/>
      <c r="L83" s="47"/>
    </row>
    <row r="84" customFormat="false" ht="12.75" hidden="false" customHeight="false" outlineLevel="0" collapsed="false">
      <c r="A84" s="39" t="s">
        <v>760</v>
      </c>
      <c r="B84" s="51"/>
      <c r="C84" s="51" t="s">
        <v>282</v>
      </c>
      <c r="D84" s="41" t="s">
        <v>730</v>
      </c>
      <c r="E84" s="41" t="s">
        <v>344</v>
      </c>
      <c r="F84" s="51" t="s">
        <v>283</v>
      </c>
      <c r="G84" s="41" t="s">
        <v>345</v>
      </c>
      <c r="H84" s="41" t="s">
        <v>413</v>
      </c>
      <c r="I84" s="40" t="n">
        <v>0</v>
      </c>
      <c r="J84" s="43"/>
      <c r="K84" s="44"/>
      <c r="L84" s="44"/>
    </row>
    <row r="85" customFormat="false" ht="12.75" hidden="false" customHeight="false" outlineLevel="0" collapsed="false">
      <c r="A85" s="45" t="s">
        <v>761</v>
      </c>
      <c r="B85" s="52"/>
      <c r="C85" s="52" t="s">
        <v>264</v>
      </c>
      <c r="D85" s="48" t="s">
        <v>730</v>
      </c>
      <c r="E85" s="48" t="s">
        <v>344</v>
      </c>
      <c r="F85" s="52" t="s">
        <v>265</v>
      </c>
      <c r="G85" s="48" t="s">
        <v>345</v>
      </c>
      <c r="H85" s="48" t="s">
        <v>413</v>
      </c>
      <c r="I85" s="46" t="n">
        <v>0</v>
      </c>
      <c r="J85" s="49"/>
      <c r="K85" s="47"/>
      <c r="L85" s="47"/>
    </row>
    <row r="86" customFormat="false" ht="12.75" hidden="false" customHeight="false" outlineLevel="0" collapsed="false">
      <c r="A86" s="39" t="s">
        <v>762</v>
      </c>
      <c r="B86" s="51"/>
      <c r="C86" s="51" t="s">
        <v>453</v>
      </c>
      <c r="D86" s="41" t="s">
        <v>730</v>
      </c>
      <c r="E86" s="41" t="s">
        <v>344</v>
      </c>
      <c r="F86" s="27" t="s">
        <v>454</v>
      </c>
      <c r="G86" s="41" t="s">
        <v>345</v>
      </c>
      <c r="H86" s="41" t="s">
        <v>413</v>
      </c>
      <c r="I86" s="40" t="n">
        <v>0</v>
      </c>
      <c r="J86" s="43"/>
      <c r="K86" s="44"/>
      <c r="L86" s="44"/>
    </row>
    <row r="87" customFormat="false" ht="12.75" hidden="false" customHeight="false" outlineLevel="0" collapsed="false">
      <c r="A87" s="45" t="s">
        <v>763</v>
      </c>
      <c r="B87" s="52"/>
      <c r="C87" s="29" t="s">
        <v>280</v>
      </c>
      <c r="D87" s="48" t="s">
        <v>730</v>
      </c>
      <c r="E87" s="48" t="s">
        <v>344</v>
      </c>
      <c r="F87" s="29" t="s">
        <v>458</v>
      </c>
      <c r="G87" s="48" t="s">
        <v>345</v>
      </c>
      <c r="H87" s="48" t="s">
        <v>413</v>
      </c>
      <c r="I87" s="46" t="n">
        <v>0</v>
      </c>
      <c r="J87" s="49"/>
      <c r="K87" s="47"/>
      <c r="L87" s="47"/>
    </row>
    <row r="88" customFormat="false" ht="12.75" hidden="false" customHeight="false" outlineLevel="0" collapsed="false">
      <c r="A88" s="39" t="s">
        <v>764</v>
      </c>
      <c r="B88" s="51"/>
      <c r="C88" s="27" t="s">
        <v>460</v>
      </c>
      <c r="D88" s="41" t="s">
        <v>730</v>
      </c>
      <c r="E88" s="41" t="s">
        <v>344</v>
      </c>
      <c r="F88" s="27" t="s">
        <v>461</v>
      </c>
      <c r="G88" s="41" t="s">
        <v>345</v>
      </c>
      <c r="H88" s="41" t="s">
        <v>413</v>
      </c>
      <c r="I88" s="40" t="n">
        <v>0</v>
      </c>
      <c r="J88" s="43"/>
      <c r="K88" s="44"/>
      <c r="L88" s="44"/>
    </row>
    <row r="89" customFormat="false" ht="12.75" hidden="false" customHeight="false" outlineLevel="0" collapsed="false">
      <c r="A89" s="45" t="s">
        <v>765</v>
      </c>
      <c r="B89" s="52"/>
      <c r="C89" s="29" t="s">
        <v>304</v>
      </c>
      <c r="D89" s="48" t="s">
        <v>730</v>
      </c>
      <c r="E89" s="48" t="s">
        <v>344</v>
      </c>
      <c r="F89" s="29" t="s">
        <v>463</v>
      </c>
      <c r="G89" s="48" t="s">
        <v>345</v>
      </c>
      <c r="H89" s="48" t="s">
        <v>413</v>
      </c>
      <c r="I89" s="46" t="n">
        <v>0</v>
      </c>
      <c r="J89" s="49"/>
      <c r="K89" s="47"/>
      <c r="L89" s="47"/>
    </row>
    <row r="90" customFormat="false" ht="12.75" hidden="false" customHeight="false" outlineLevel="0" collapsed="false">
      <c r="A90" s="39" t="s">
        <v>766</v>
      </c>
      <c r="B90" s="27"/>
      <c r="C90" s="51" t="s">
        <v>313</v>
      </c>
      <c r="D90" s="41" t="s">
        <v>730</v>
      </c>
      <c r="E90" s="41" t="s">
        <v>344</v>
      </c>
      <c r="F90" s="51" t="s">
        <v>314</v>
      </c>
      <c r="G90" s="41" t="s">
        <v>345</v>
      </c>
      <c r="H90" s="41" t="s">
        <v>413</v>
      </c>
      <c r="I90" s="40" t="n">
        <v>0</v>
      </c>
      <c r="J90" s="27"/>
      <c r="K90" s="44"/>
      <c r="L90" s="44"/>
    </row>
    <row r="91" customFormat="false" ht="12.75" hidden="false" customHeight="false" outlineLevel="0" collapsed="false">
      <c r="A91" s="45" t="s">
        <v>767</v>
      </c>
      <c r="B91" s="29"/>
      <c r="C91" s="29" t="s">
        <v>466</v>
      </c>
      <c r="D91" s="48" t="s">
        <v>730</v>
      </c>
      <c r="E91" s="48" t="s">
        <v>344</v>
      </c>
      <c r="F91" s="29" t="s">
        <v>467</v>
      </c>
      <c r="G91" s="48" t="s">
        <v>345</v>
      </c>
      <c r="H91" s="48" t="s">
        <v>413</v>
      </c>
      <c r="I91" s="46" t="n">
        <v>0</v>
      </c>
      <c r="J91" s="29"/>
      <c r="K91" s="47"/>
      <c r="L91" s="47"/>
    </row>
    <row r="92" customFormat="false" ht="12.75" hidden="false" customHeight="false" outlineLevel="0" collapsed="false">
      <c r="A92" s="39" t="s">
        <v>768</v>
      </c>
      <c r="B92" s="27"/>
      <c r="C92" s="51" t="s">
        <v>319</v>
      </c>
      <c r="D92" s="41" t="s">
        <v>730</v>
      </c>
      <c r="E92" s="41" t="s">
        <v>344</v>
      </c>
      <c r="F92" s="51" t="s">
        <v>320</v>
      </c>
      <c r="G92" s="41" t="s">
        <v>345</v>
      </c>
      <c r="H92" s="41" t="s">
        <v>413</v>
      </c>
      <c r="I92" s="40" t="n">
        <v>0</v>
      </c>
      <c r="J92" s="27"/>
      <c r="K92" s="44"/>
      <c r="L92" s="44"/>
    </row>
    <row r="93" customFormat="false" ht="12.75" hidden="false" customHeight="false" outlineLevel="0" collapsed="false">
      <c r="A93" s="45" t="s">
        <v>769</v>
      </c>
      <c r="B93" s="29"/>
      <c r="C93" s="52" t="s">
        <v>322</v>
      </c>
      <c r="D93" s="48" t="s">
        <v>730</v>
      </c>
      <c r="E93" s="48" t="s">
        <v>344</v>
      </c>
      <c r="F93" s="52" t="s">
        <v>323</v>
      </c>
      <c r="G93" s="48" t="s">
        <v>345</v>
      </c>
      <c r="H93" s="48" t="s">
        <v>413</v>
      </c>
      <c r="I93" s="46" t="n">
        <v>0</v>
      </c>
      <c r="J93" s="29"/>
      <c r="K93" s="47"/>
      <c r="L93" s="47"/>
    </row>
    <row r="94" customFormat="false" ht="12.75" hidden="false" customHeight="false" outlineLevel="0" collapsed="false">
      <c r="A94" s="39" t="s">
        <v>770</v>
      </c>
      <c r="B94" s="27"/>
      <c r="C94" s="51" t="s">
        <v>325</v>
      </c>
      <c r="D94" s="41" t="s">
        <v>730</v>
      </c>
      <c r="E94" s="41" t="s">
        <v>344</v>
      </c>
      <c r="F94" s="51" t="s">
        <v>326</v>
      </c>
      <c r="G94" s="41" t="s">
        <v>345</v>
      </c>
      <c r="H94" s="41" t="s">
        <v>413</v>
      </c>
      <c r="I94" s="40" t="n">
        <v>0</v>
      </c>
      <c r="J94" s="27"/>
      <c r="K94" s="44"/>
      <c r="L94" s="44"/>
    </row>
    <row r="95" customFormat="false" ht="12.75" hidden="false" customHeight="false" outlineLevel="0" collapsed="false">
      <c r="A95" s="45" t="s">
        <v>771</v>
      </c>
      <c r="B95" s="29"/>
      <c r="C95" s="52" t="s">
        <v>328</v>
      </c>
      <c r="D95" s="48" t="s">
        <v>730</v>
      </c>
      <c r="E95" s="48" t="s">
        <v>344</v>
      </c>
      <c r="F95" s="52" t="s">
        <v>329</v>
      </c>
      <c r="G95" s="48" t="s">
        <v>345</v>
      </c>
      <c r="H95" s="48" t="s">
        <v>413</v>
      </c>
      <c r="I95" s="46" t="n">
        <v>0</v>
      </c>
      <c r="J95" s="29"/>
      <c r="K95" s="47"/>
      <c r="L95" s="47"/>
    </row>
    <row r="96" customFormat="false" ht="12.75" hidden="false" customHeight="false" outlineLevel="0" collapsed="false">
      <c r="A96" s="39" t="s">
        <v>772</v>
      </c>
      <c r="B96" s="27"/>
      <c r="C96" s="51" t="s">
        <v>331</v>
      </c>
      <c r="D96" s="41" t="s">
        <v>730</v>
      </c>
      <c r="E96" s="41" t="s">
        <v>344</v>
      </c>
      <c r="F96" s="51" t="s">
        <v>332</v>
      </c>
      <c r="G96" s="41" t="s">
        <v>345</v>
      </c>
      <c r="H96" s="41" t="s">
        <v>413</v>
      </c>
      <c r="I96" s="40" t="n">
        <v>0</v>
      </c>
      <c r="J96" s="27"/>
      <c r="K96" s="44"/>
      <c r="L96" s="44"/>
    </row>
    <row r="97" customFormat="false" ht="12.75" hidden="false" customHeight="false" outlineLevel="0" collapsed="false">
      <c r="A97" s="45" t="s">
        <v>773</v>
      </c>
      <c r="B97" s="29"/>
      <c r="C97" s="52" t="s">
        <v>334</v>
      </c>
      <c r="D97" s="48" t="s">
        <v>730</v>
      </c>
      <c r="E97" s="48" t="s">
        <v>344</v>
      </c>
      <c r="F97" s="52" t="s">
        <v>335</v>
      </c>
      <c r="G97" s="48" t="s">
        <v>345</v>
      </c>
      <c r="H97" s="48" t="s">
        <v>413</v>
      </c>
      <c r="I97" s="46" t="n">
        <v>0</v>
      </c>
      <c r="J97" s="29"/>
      <c r="K97" s="47"/>
      <c r="L97" s="47"/>
    </row>
    <row r="98" customFormat="false" ht="12.75" hidden="false" customHeight="false" outlineLevel="0" collapsed="false">
      <c r="A98" s="39" t="s">
        <v>774</v>
      </c>
      <c r="B98" s="27"/>
      <c r="C98" s="51" t="s">
        <v>336</v>
      </c>
      <c r="D98" s="41" t="s">
        <v>730</v>
      </c>
      <c r="E98" s="41" t="s">
        <v>344</v>
      </c>
      <c r="F98" s="51" t="s">
        <v>337</v>
      </c>
      <c r="G98" s="41" t="s">
        <v>345</v>
      </c>
      <c r="H98" s="41" t="s">
        <v>413</v>
      </c>
      <c r="I98" s="40" t="n">
        <v>0</v>
      </c>
      <c r="J98" s="76" t="n">
        <v>45495</v>
      </c>
      <c r="K98" s="44"/>
      <c r="L98" s="44"/>
    </row>
  </sheetData>
  <autoFilter ref="A3:L98"/>
  <mergeCells count="3">
    <mergeCell ref="A1:B2"/>
    <mergeCell ref="C1:J1"/>
    <mergeCell ref="C2:J2"/>
  </mergeCells>
  <printOptions headings="false" gridLines="false" gridLinesSet="true" horizontalCentered="false" verticalCentered="false"/>
  <pageMargins left="0.3" right="0.3" top="0.400694444444444" bottom="0.4" header="0.315277777777778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&amp;R&amp;"Aptos,Regular"&amp;1 &amp;K008000  Informação Pública /  Public Information#_x005F_x000d_</oddHeader>
    <oddFooter>&amp;R&amp;"Aptos,Regular"&amp;K008000 _x005F_x000d_# J Mendes - Nome: K19-204-FER-LD-001-R01 -Lista de Documentos Rev.03.xlsx Aberto Por: filipe.souza@jmendes.com.br Data: 2026-08-11T10:27:55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AD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" activeCellId="0" sqref="C2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82" width="11"/>
    <col collapsed="false" customWidth="true" hidden="false" outlineLevel="0" max="3" min="3" style="0" width="47.71"/>
    <col collapsed="false" customWidth="true" hidden="false" outlineLevel="0" max="4" min="4" style="0" width="17.42"/>
    <col collapsed="false" customWidth="true" hidden="false" outlineLevel="0" max="5" min="5" style="0" width="24.42"/>
    <col collapsed="false" customWidth="true" hidden="false" outlineLevel="0" max="6" min="6" style="0" width="60.29"/>
    <col collapsed="false" customWidth="true" hidden="false" outlineLevel="0" max="7" min="7" style="0" width="22.29"/>
    <col collapsed="false" customWidth="true" hidden="false" outlineLevel="0" max="8" min="8" style="0" width="25.14"/>
    <col collapsed="false" customWidth="true" hidden="false" outlineLevel="0" max="9" min="9" style="0" width="7.42"/>
    <col collapsed="false" customWidth="true" hidden="false" outlineLevel="0" max="10" min="10" style="0" width="10.14"/>
    <col collapsed="false" customWidth="true" hidden="false" outlineLevel="0" max="12" min="11" style="0" width="22"/>
    <col collapsed="false" customWidth="true" hidden="false" outlineLevel="0" max="13" min="13" style="0" width="42"/>
    <col collapsed="false" customWidth="true" hidden="false" outlineLevel="0" max="15" min="14" style="0" width="14"/>
    <col collapsed="false" customWidth="true" hidden="false" outlineLevel="0" max="16" min="16" style="0" width="20"/>
    <col collapsed="false" customWidth="true" hidden="false" outlineLevel="0" max="17" min="17" style="0" width="13"/>
  </cols>
  <sheetData>
    <row r="1" customFormat="false" ht="21.75" hidden="false" customHeight="true" outlineLevel="0" collapsed="false">
      <c r="A1" s="33"/>
      <c r="B1" s="33"/>
      <c r="C1" s="34" t="s">
        <v>30</v>
      </c>
      <c r="D1" s="34"/>
      <c r="E1" s="34"/>
      <c r="F1" s="34"/>
      <c r="G1" s="34"/>
      <c r="H1" s="34"/>
      <c r="I1" s="34"/>
      <c r="J1" s="34"/>
    </row>
    <row r="2" customFormat="false" ht="15.75" hidden="false" customHeight="true" outlineLevel="0" collapsed="false">
      <c r="A2" s="33"/>
      <c r="B2" s="33"/>
      <c r="C2" s="35" t="s">
        <v>31</v>
      </c>
      <c r="D2" s="35"/>
      <c r="E2" s="35"/>
      <c r="F2" s="35"/>
      <c r="G2" s="35"/>
      <c r="H2" s="35"/>
      <c r="I2" s="35"/>
      <c r="J2" s="35"/>
    </row>
    <row r="3" customFormat="false" ht="30" hidden="false" customHeight="true" outlineLevel="0" collapsed="false">
      <c r="A3" s="37" t="s">
        <v>33</v>
      </c>
      <c r="B3" s="37" t="s">
        <v>338</v>
      </c>
      <c r="C3" s="37" t="s">
        <v>35</v>
      </c>
      <c r="D3" s="37" t="s">
        <v>36</v>
      </c>
      <c r="E3" s="37" t="s">
        <v>37</v>
      </c>
      <c r="F3" s="37" t="s">
        <v>38</v>
      </c>
      <c r="G3" s="37" t="s">
        <v>339</v>
      </c>
      <c r="H3" s="37" t="s">
        <v>340</v>
      </c>
      <c r="I3" s="37" t="s">
        <v>40</v>
      </c>
      <c r="J3" s="37" t="s">
        <v>41</v>
      </c>
      <c r="K3" s="38" t="s">
        <v>42</v>
      </c>
      <c r="L3" s="38" t="s">
        <v>43</v>
      </c>
      <c r="M3" s="38" t="s">
        <v>775</v>
      </c>
      <c r="N3" s="38" t="s">
        <v>776</v>
      </c>
      <c r="O3" s="38" t="s">
        <v>17</v>
      </c>
      <c r="P3" s="38" t="s">
        <v>777</v>
      </c>
      <c r="Q3" s="38" t="s">
        <v>778</v>
      </c>
    </row>
    <row r="4" customFormat="false" ht="12.75" hidden="false" customHeight="false" outlineLevel="0" collapsed="false">
      <c r="A4" s="39" t="s">
        <v>779</v>
      </c>
      <c r="B4" s="83" t="n">
        <v>6140206</v>
      </c>
      <c r="C4" s="41" t="s">
        <v>600</v>
      </c>
      <c r="D4" s="41" t="s">
        <v>601</v>
      </c>
      <c r="E4" s="41" t="s">
        <v>344</v>
      </c>
      <c r="F4" s="41" t="s">
        <v>602</v>
      </c>
      <c r="G4" s="41" t="s">
        <v>345</v>
      </c>
      <c r="H4" s="41" t="s">
        <v>780</v>
      </c>
      <c r="I4" s="42" t="n">
        <v>0</v>
      </c>
      <c r="J4" s="43" t="n">
        <v>44013</v>
      </c>
      <c r="K4" s="44"/>
      <c r="L4" s="44"/>
      <c r="M4" s="44"/>
      <c r="N4" s="44"/>
      <c r="O4" s="44"/>
      <c r="P4" s="44"/>
      <c r="Q4" s="84"/>
    </row>
    <row r="5" customFormat="false" ht="12.75" hidden="false" customHeight="false" outlineLevel="0" collapsed="false">
      <c r="A5" s="45" t="s">
        <v>781</v>
      </c>
      <c r="B5" s="46" t="n">
        <v>6140221</v>
      </c>
      <c r="C5" s="48" t="s">
        <v>604</v>
      </c>
      <c r="D5" s="48" t="s">
        <v>601</v>
      </c>
      <c r="E5" s="48" t="s">
        <v>344</v>
      </c>
      <c r="F5" s="48" t="s">
        <v>605</v>
      </c>
      <c r="G5" s="48" t="s">
        <v>345</v>
      </c>
      <c r="H5" s="48" t="s">
        <v>780</v>
      </c>
      <c r="I5" s="46" t="n">
        <v>0</v>
      </c>
      <c r="J5" s="49" t="n">
        <v>44013</v>
      </c>
      <c r="K5" s="47"/>
      <c r="L5" s="47"/>
      <c r="M5" s="47"/>
      <c r="N5" s="47"/>
      <c r="O5" s="47"/>
      <c r="P5" s="47"/>
      <c r="Q5" s="85"/>
    </row>
    <row r="6" customFormat="false" ht="12.75" hidden="false" customHeight="false" outlineLevel="0" collapsed="false">
      <c r="A6" s="39" t="s">
        <v>782</v>
      </c>
      <c r="B6" s="86" t="n">
        <v>6140233</v>
      </c>
      <c r="C6" s="41" t="s">
        <v>607</v>
      </c>
      <c r="D6" s="41" t="s">
        <v>601</v>
      </c>
      <c r="E6" s="41" t="s">
        <v>344</v>
      </c>
      <c r="F6" s="41" t="s">
        <v>123</v>
      </c>
      <c r="G6" s="41" t="s">
        <v>345</v>
      </c>
      <c r="H6" s="41" t="s">
        <v>780</v>
      </c>
      <c r="I6" s="40" t="n">
        <v>0</v>
      </c>
      <c r="J6" s="43" t="n">
        <v>44013</v>
      </c>
      <c r="K6" s="44"/>
      <c r="L6" s="44"/>
      <c r="M6" s="44"/>
      <c r="N6" s="44"/>
      <c r="O6" s="44"/>
      <c r="P6" s="44"/>
      <c r="Q6" s="84"/>
    </row>
    <row r="7" customFormat="false" ht="12.75" hidden="false" customHeight="false" outlineLevel="0" collapsed="false">
      <c r="A7" s="45" t="s">
        <v>783</v>
      </c>
      <c r="B7" s="50" t="n">
        <v>6140258</v>
      </c>
      <c r="C7" s="48" t="s">
        <v>125</v>
      </c>
      <c r="D7" s="48" t="s">
        <v>601</v>
      </c>
      <c r="E7" s="48" t="s">
        <v>344</v>
      </c>
      <c r="F7" s="48" t="s">
        <v>126</v>
      </c>
      <c r="G7" s="48" t="s">
        <v>345</v>
      </c>
      <c r="H7" s="48" t="s">
        <v>780</v>
      </c>
      <c r="I7" s="50" t="n">
        <v>0</v>
      </c>
      <c r="J7" s="49" t="n">
        <v>44013</v>
      </c>
      <c r="K7" s="47"/>
      <c r="L7" s="47"/>
      <c r="M7" s="47"/>
      <c r="N7" s="47"/>
      <c r="O7" s="47"/>
      <c r="P7" s="47"/>
      <c r="Q7" s="85"/>
    </row>
    <row r="8" customFormat="false" ht="12.75" hidden="false" customHeight="false" outlineLevel="0" collapsed="false">
      <c r="A8" s="39" t="s">
        <v>784</v>
      </c>
      <c r="B8" s="86" t="n">
        <v>6140297</v>
      </c>
      <c r="C8" s="41" t="s">
        <v>610</v>
      </c>
      <c r="D8" s="41" t="s">
        <v>601</v>
      </c>
      <c r="E8" s="41" t="s">
        <v>344</v>
      </c>
      <c r="F8" s="41" t="s">
        <v>611</v>
      </c>
      <c r="G8" s="41" t="s">
        <v>345</v>
      </c>
      <c r="H8" s="41" t="s">
        <v>780</v>
      </c>
      <c r="I8" s="42" t="n">
        <v>0</v>
      </c>
      <c r="J8" s="43" t="n">
        <v>44013</v>
      </c>
      <c r="K8" s="44"/>
      <c r="L8" s="44"/>
      <c r="M8" s="44"/>
      <c r="N8" s="44"/>
      <c r="O8" s="44"/>
      <c r="P8" s="44"/>
      <c r="Q8" s="84"/>
    </row>
    <row r="9" customFormat="false" ht="12.75" hidden="false" customHeight="false" outlineLevel="0" collapsed="false">
      <c r="A9" s="45" t="s">
        <v>785</v>
      </c>
      <c r="B9" s="50" t="n">
        <v>6140310</v>
      </c>
      <c r="C9" s="48" t="s">
        <v>786</v>
      </c>
      <c r="D9" s="48" t="s">
        <v>601</v>
      </c>
      <c r="E9" s="48" t="s">
        <v>344</v>
      </c>
      <c r="F9" s="48" t="s">
        <v>787</v>
      </c>
      <c r="G9" s="48" t="s">
        <v>345</v>
      </c>
      <c r="H9" s="48" t="s">
        <v>780</v>
      </c>
      <c r="I9" s="46" t="n">
        <v>0</v>
      </c>
      <c r="J9" s="49" t="n">
        <v>44013</v>
      </c>
      <c r="K9" s="47"/>
      <c r="L9" s="47"/>
      <c r="M9" s="47"/>
      <c r="N9" s="47"/>
      <c r="O9" s="47"/>
      <c r="P9" s="47"/>
      <c r="Q9" s="85"/>
    </row>
    <row r="10" customFormat="false" ht="12.75" hidden="false" customHeight="false" outlineLevel="0" collapsed="false">
      <c r="A10" s="39" t="s">
        <v>788</v>
      </c>
      <c r="B10" s="86" t="n">
        <v>6140317</v>
      </c>
      <c r="C10" s="41" t="s">
        <v>789</v>
      </c>
      <c r="D10" s="41" t="s">
        <v>601</v>
      </c>
      <c r="E10" s="41" t="s">
        <v>344</v>
      </c>
      <c r="F10" s="41" t="s">
        <v>790</v>
      </c>
      <c r="G10" s="41" t="s">
        <v>345</v>
      </c>
      <c r="H10" s="41" t="s">
        <v>780</v>
      </c>
      <c r="I10" s="40" t="n">
        <v>0</v>
      </c>
      <c r="J10" s="43" t="n">
        <v>44013</v>
      </c>
      <c r="K10" s="44"/>
      <c r="L10" s="44"/>
      <c r="M10" s="44"/>
      <c r="N10" s="44"/>
      <c r="O10" s="44"/>
      <c r="P10" s="44"/>
      <c r="Q10" s="84"/>
    </row>
    <row r="11" customFormat="false" ht="12.75" hidden="false" customHeight="false" outlineLevel="0" collapsed="false">
      <c r="A11" s="45" t="s">
        <v>791</v>
      </c>
      <c r="B11" s="50" t="n">
        <v>6140329</v>
      </c>
      <c r="C11" s="48" t="s">
        <v>616</v>
      </c>
      <c r="D11" s="48" t="s">
        <v>601</v>
      </c>
      <c r="E11" s="48" t="s">
        <v>344</v>
      </c>
      <c r="F11" s="48" t="s">
        <v>792</v>
      </c>
      <c r="G11" s="48" t="s">
        <v>345</v>
      </c>
      <c r="H11" s="48" t="s">
        <v>780</v>
      </c>
      <c r="I11" s="46" t="n">
        <v>0</v>
      </c>
      <c r="J11" s="49" t="n">
        <v>44013</v>
      </c>
      <c r="K11" s="47"/>
      <c r="L11" s="47"/>
      <c r="M11" s="47"/>
      <c r="N11" s="47"/>
      <c r="O11" s="47"/>
      <c r="P11" s="47"/>
      <c r="Q11" s="85"/>
    </row>
    <row r="12" customFormat="false" ht="12.75" hidden="false" customHeight="false" outlineLevel="0" collapsed="false">
      <c r="A12" s="39" t="s">
        <v>793</v>
      </c>
      <c r="B12" s="86" t="n">
        <v>6140344</v>
      </c>
      <c r="C12" s="41" t="s">
        <v>45</v>
      </c>
      <c r="D12" s="41" t="s">
        <v>601</v>
      </c>
      <c r="E12" s="41" t="s">
        <v>344</v>
      </c>
      <c r="F12" s="41" t="s">
        <v>47</v>
      </c>
      <c r="G12" s="41" t="s">
        <v>345</v>
      </c>
      <c r="H12" s="41" t="s">
        <v>780</v>
      </c>
      <c r="I12" s="40" t="n">
        <v>0</v>
      </c>
      <c r="J12" s="43" t="n">
        <v>44013</v>
      </c>
      <c r="K12" s="44"/>
      <c r="L12" s="44"/>
      <c r="M12" s="44"/>
      <c r="N12" s="44"/>
      <c r="O12" s="44"/>
      <c r="P12" s="44"/>
      <c r="Q12" s="84"/>
    </row>
    <row r="13" customFormat="false" ht="12.75" hidden="false" customHeight="false" outlineLevel="0" collapsed="false">
      <c r="A13" s="45" t="s">
        <v>794</v>
      </c>
      <c r="B13" s="46" t="n">
        <v>6140390</v>
      </c>
      <c r="C13" s="48" t="s">
        <v>795</v>
      </c>
      <c r="D13" s="48" t="s">
        <v>601</v>
      </c>
      <c r="E13" s="48" t="s">
        <v>344</v>
      </c>
      <c r="F13" s="48" t="s">
        <v>796</v>
      </c>
      <c r="G13" s="48" t="s">
        <v>345</v>
      </c>
      <c r="H13" s="48" t="s">
        <v>780</v>
      </c>
      <c r="I13" s="46" t="n">
        <v>0</v>
      </c>
      <c r="J13" s="49" t="n">
        <v>44013</v>
      </c>
      <c r="K13" s="47"/>
      <c r="L13" s="47"/>
      <c r="M13" s="47"/>
      <c r="N13" s="47"/>
      <c r="O13" s="47"/>
      <c r="P13" s="47"/>
      <c r="Q13" s="85"/>
    </row>
    <row r="14" customFormat="false" ht="12.75" hidden="false" customHeight="false" outlineLevel="0" collapsed="false">
      <c r="A14" s="39" t="s">
        <v>797</v>
      </c>
      <c r="B14" s="83" t="n">
        <v>6140401</v>
      </c>
      <c r="C14" s="41" t="s">
        <v>301</v>
      </c>
      <c r="D14" s="41" t="s">
        <v>601</v>
      </c>
      <c r="E14" s="41" t="s">
        <v>344</v>
      </c>
      <c r="F14" s="41" t="s">
        <v>302</v>
      </c>
      <c r="G14" s="41" t="s">
        <v>345</v>
      </c>
      <c r="H14" s="41" t="s">
        <v>780</v>
      </c>
      <c r="I14" s="40" t="n">
        <v>0</v>
      </c>
      <c r="J14" s="43" t="n">
        <v>44013</v>
      </c>
      <c r="K14" s="44"/>
      <c r="L14" s="44"/>
      <c r="M14" s="44"/>
      <c r="N14" s="44"/>
      <c r="O14" s="44"/>
      <c r="P14" s="44"/>
      <c r="Q14" s="84"/>
    </row>
    <row r="15" customFormat="false" ht="12.75" hidden="false" customHeight="false" outlineLevel="0" collapsed="false">
      <c r="A15" s="45" t="s">
        <v>798</v>
      </c>
      <c r="B15" s="46" t="n">
        <v>6140410</v>
      </c>
      <c r="C15" s="48" t="s">
        <v>134</v>
      </c>
      <c r="D15" s="48" t="s">
        <v>601</v>
      </c>
      <c r="E15" s="48" t="s">
        <v>344</v>
      </c>
      <c r="F15" s="48" t="s">
        <v>135</v>
      </c>
      <c r="G15" s="48" t="s">
        <v>345</v>
      </c>
      <c r="H15" s="48" t="s">
        <v>780</v>
      </c>
      <c r="I15" s="46" t="n">
        <v>0</v>
      </c>
      <c r="J15" s="49" t="n">
        <v>44013</v>
      </c>
      <c r="K15" s="47"/>
      <c r="L15" s="47"/>
      <c r="M15" s="47"/>
      <c r="N15" s="47"/>
      <c r="O15" s="47"/>
      <c r="P15" s="47"/>
      <c r="Q15" s="85"/>
    </row>
    <row r="16" customFormat="false" ht="12.75" hidden="false" customHeight="false" outlineLevel="0" collapsed="false">
      <c r="A16" s="39" t="s">
        <v>799</v>
      </c>
      <c r="B16" s="83" t="n">
        <v>6140428</v>
      </c>
      <c r="C16" s="41" t="s">
        <v>625</v>
      </c>
      <c r="D16" s="41" t="s">
        <v>601</v>
      </c>
      <c r="E16" s="41" t="s">
        <v>344</v>
      </c>
      <c r="F16" s="41" t="s">
        <v>626</v>
      </c>
      <c r="G16" s="41" t="s">
        <v>345</v>
      </c>
      <c r="H16" s="41" t="s">
        <v>780</v>
      </c>
      <c r="I16" s="40" t="n">
        <v>0</v>
      </c>
      <c r="J16" s="43" t="n">
        <v>44013</v>
      </c>
      <c r="K16" s="44"/>
      <c r="L16" s="44"/>
      <c r="M16" s="44"/>
      <c r="N16" s="44"/>
      <c r="O16" s="44"/>
      <c r="P16" s="44"/>
      <c r="Q16" s="84"/>
    </row>
    <row r="17" customFormat="false" ht="12.75" hidden="false" customHeight="false" outlineLevel="0" collapsed="false">
      <c r="A17" s="45" t="s">
        <v>800</v>
      </c>
      <c r="B17" s="46" t="n">
        <v>6140438</v>
      </c>
      <c r="C17" s="48" t="s">
        <v>628</v>
      </c>
      <c r="D17" s="48" t="s">
        <v>601</v>
      </c>
      <c r="E17" s="48" t="s">
        <v>344</v>
      </c>
      <c r="F17" s="48" t="s">
        <v>629</v>
      </c>
      <c r="G17" s="48" t="s">
        <v>345</v>
      </c>
      <c r="H17" s="48" t="s">
        <v>780</v>
      </c>
      <c r="I17" s="46" t="n">
        <v>0</v>
      </c>
      <c r="J17" s="49" t="n">
        <v>44013</v>
      </c>
      <c r="K17" s="47"/>
      <c r="L17" s="47"/>
      <c r="M17" s="47"/>
      <c r="N17" s="47"/>
      <c r="O17" s="47"/>
      <c r="P17" s="47"/>
      <c r="Q17" s="85"/>
    </row>
    <row r="18" customFormat="false" ht="12.75" hidden="false" customHeight="false" outlineLevel="0" collapsed="false">
      <c r="A18" s="39" t="s">
        <v>801</v>
      </c>
      <c r="B18" s="83" t="n">
        <v>6140444</v>
      </c>
      <c r="C18" s="41" t="s">
        <v>150</v>
      </c>
      <c r="D18" s="41" t="s">
        <v>601</v>
      </c>
      <c r="E18" s="41" t="s">
        <v>344</v>
      </c>
      <c r="F18" s="41" t="s">
        <v>151</v>
      </c>
      <c r="G18" s="41" t="s">
        <v>345</v>
      </c>
      <c r="H18" s="41" t="s">
        <v>780</v>
      </c>
      <c r="I18" s="40" t="n">
        <v>0</v>
      </c>
      <c r="J18" s="43" t="n">
        <v>44013</v>
      </c>
      <c r="K18" s="44"/>
      <c r="L18" s="44"/>
      <c r="M18" s="44"/>
      <c r="N18" s="44"/>
      <c r="O18" s="44"/>
      <c r="P18" s="44"/>
      <c r="Q18" s="84"/>
    </row>
    <row r="19" customFormat="false" ht="12.75" hidden="false" customHeight="false" outlineLevel="0" collapsed="false">
      <c r="A19" s="45" t="s">
        <v>802</v>
      </c>
      <c r="B19" s="46" t="n">
        <v>6140481</v>
      </c>
      <c r="C19" s="48" t="s">
        <v>803</v>
      </c>
      <c r="D19" s="48" t="s">
        <v>601</v>
      </c>
      <c r="E19" s="48" t="s">
        <v>344</v>
      </c>
      <c r="F19" s="48" t="s">
        <v>804</v>
      </c>
      <c r="G19" s="48" t="s">
        <v>345</v>
      </c>
      <c r="H19" s="48" t="s">
        <v>780</v>
      </c>
      <c r="I19" s="46" t="n">
        <v>0</v>
      </c>
      <c r="J19" s="49" t="n">
        <v>44013</v>
      </c>
      <c r="K19" s="47"/>
      <c r="L19" s="47"/>
      <c r="M19" s="47"/>
      <c r="N19" s="47"/>
      <c r="O19" s="47"/>
      <c r="P19" s="47"/>
      <c r="Q19" s="85"/>
    </row>
    <row r="20" customFormat="false" ht="12.75" hidden="false" customHeight="false" outlineLevel="0" collapsed="false">
      <c r="A20" s="39" t="s">
        <v>805</v>
      </c>
      <c r="B20" s="83" t="n">
        <v>6140514</v>
      </c>
      <c r="C20" s="41" t="s">
        <v>806</v>
      </c>
      <c r="D20" s="41" t="s">
        <v>601</v>
      </c>
      <c r="E20" s="41" t="s">
        <v>344</v>
      </c>
      <c r="F20" s="41" t="s">
        <v>807</v>
      </c>
      <c r="G20" s="41" t="s">
        <v>345</v>
      </c>
      <c r="H20" s="41" t="s">
        <v>780</v>
      </c>
      <c r="I20" s="40" t="n">
        <v>0</v>
      </c>
      <c r="J20" s="43" t="n">
        <v>44013</v>
      </c>
      <c r="K20" s="44"/>
      <c r="L20" s="44"/>
      <c r="M20" s="44"/>
      <c r="N20" s="44"/>
      <c r="O20" s="44"/>
      <c r="P20" s="44"/>
      <c r="Q20" s="84"/>
    </row>
    <row r="21" customFormat="false" ht="12.75" hidden="false" customHeight="false" outlineLevel="0" collapsed="false">
      <c r="A21" s="45" t="s">
        <v>808</v>
      </c>
      <c r="B21" s="46" t="n">
        <v>6140561</v>
      </c>
      <c r="C21" s="48" t="s">
        <v>634</v>
      </c>
      <c r="D21" s="48" t="s">
        <v>601</v>
      </c>
      <c r="E21" s="48" t="s">
        <v>344</v>
      </c>
      <c r="F21" s="48" t="s">
        <v>635</v>
      </c>
      <c r="G21" s="48" t="s">
        <v>345</v>
      </c>
      <c r="H21" s="48" t="s">
        <v>780</v>
      </c>
      <c r="I21" s="46" t="n">
        <v>0</v>
      </c>
      <c r="J21" s="49" t="n">
        <v>44013</v>
      </c>
      <c r="K21" s="47"/>
      <c r="L21" s="47"/>
      <c r="M21" s="47"/>
      <c r="N21" s="47"/>
      <c r="O21" s="47"/>
      <c r="P21" s="47"/>
      <c r="Q21" s="85"/>
    </row>
    <row r="22" customFormat="false" ht="12.75" hidden="false" customHeight="false" outlineLevel="0" collapsed="false">
      <c r="A22" s="39" t="s">
        <v>809</v>
      </c>
      <c r="B22" s="83" t="n">
        <v>6140589</v>
      </c>
      <c r="C22" s="41" t="s">
        <v>637</v>
      </c>
      <c r="D22" s="41" t="s">
        <v>601</v>
      </c>
      <c r="E22" s="41" t="s">
        <v>344</v>
      </c>
      <c r="F22" s="41" t="s">
        <v>638</v>
      </c>
      <c r="G22" s="41" t="s">
        <v>345</v>
      </c>
      <c r="H22" s="41" t="s">
        <v>780</v>
      </c>
      <c r="I22" s="40" t="n">
        <v>0</v>
      </c>
      <c r="J22" s="43" t="n">
        <v>44013</v>
      </c>
      <c r="K22" s="44"/>
      <c r="L22" s="44"/>
      <c r="M22" s="44"/>
      <c r="N22" s="44"/>
      <c r="O22" s="44"/>
      <c r="P22" s="44"/>
      <c r="Q22" s="84"/>
    </row>
    <row r="23" customFormat="false" ht="12.75" hidden="false" customHeight="false" outlineLevel="0" collapsed="false">
      <c r="A23" s="45" t="s">
        <v>810</v>
      </c>
      <c r="B23" s="46" t="n">
        <v>6140598</v>
      </c>
      <c r="C23" s="48" t="s">
        <v>640</v>
      </c>
      <c r="D23" s="48" t="s">
        <v>601</v>
      </c>
      <c r="E23" s="48" t="s">
        <v>344</v>
      </c>
      <c r="F23" s="48" t="s">
        <v>641</v>
      </c>
      <c r="G23" s="48" t="s">
        <v>345</v>
      </c>
      <c r="H23" s="48" t="s">
        <v>780</v>
      </c>
      <c r="I23" s="46" t="n">
        <v>0</v>
      </c>
      <c r="J23" s="49" t="n">
        <v>44013</v>
      </c>
      <c r="K23" s="47"/>
      <c r="L23" s="47"/>
      <c r="M23" s="47"/>
      <c r="N23" s="47"/>
      <c r="O23" s="47"/>
      <c r="P23" s="47"/>
      <c r="Q23" s="85"/>
    </row>
    <row r="24" customFormat="false" ht="12.75" hidden="false" customHeight="false" outlineLevel="0" collapsed="false">
      <c r="A24" s="39" t="s">
        <v>811</v>
      </c>
      <c r="B24" s="83" t="n">
        <v>6140621</v>
      </c>
      <c r="C24" s="41" t="s">
        <v>812</v>
      </c>
      <c r="D24" s="41" t="s">
        <v>601</v>
      </c>
      <c r="E24" s="41" t="s">
        <v>344</v>
      </c>
      <c r="F24" s="41" t="s">
        <v>813</v>
      </c>
      <c r="G24" s="41" t="s">
        <v>345</v>
      </c>
      <c r="H24" s="41" t="s">
        <v>780</v>
      </c>
      <c r="I24" s="40" t="n">
        <v>0</v>
      </c>
      <c r="J24" s="43" t="n">
        <v>44013</v>
      </c>
      <c r="K24" s="44"/>
      <c r="L24" s="44"/>
      <c r="M24" s="44"/>
      <c r="N24" s="44"/>
      <c r="O24" s="44"/>
      <c r="P24" s="44"/>
      <c r="Q24" s="84"/>
    </row>
    <row r="25" customFormat="false" ht="12.75" hidden="false" customHeight="false" outlineLevel="0" collapsed="false">
      <c r="A25" s="45" t="s">
        <v>814</v>
      </c>
      <c r="B25" s="46" t="n">
        <v>6140647</v>
      </c>
      <c r="C25" s="48" t="s">
        <v>100</v>
      </c>
      <c r="D25" s="48" t="s">
        <v>601</v>
      </c>
      <c r="E25" s="48" t="s">
        <v>344</v>
      </c>
      <c r="F25" s="48" t="s">
        <v>815</v>
      </c>
      <c r="G25" s="48" t="s">
        <v>345</v>
      </c>
      <c r="H25" s="48" t="s">
        <v>780</v>
      </c>
      <c r="I25" s="46" t="n">
        <v>0</v>
      </c>
      <c r="J25" s="49" t="n">
        <v>44013</v>
      </c>
      <c r="K25" s="47"/>
      <c r="L25" s="47"/>
      <c r="M25" s="47"/>
      <c r="N25" s="47"/>
      <c r="O25" s="47"/>
      <c r="P25" s="47"/>
      <c r="Q25" s="85"/>
    </row>
    <row r="26" customFormat="false" ht="12.75" hidden="false" customHeight="false" outlineLevel="0" collapsed="false">
      <c r="A26" s="39" t="s">
        <v>816</v>
      </c>
      <c r="B26" s="83" t="n">
        <v>6140657</v>
      </c>
      <c r="C26" s="41" t="s">
        <v>154</v>
      </c>
      <c r="D26" s="41" t="s">
        <v>601</v>
      </c>
      <c r="E26" s="41" t="s">
        <v>344</v>
      </c>
      <c r="F26" s="41" t="s">
        <v>155</v>
      </c>
      <c r="G26" s="41" t="s">
        <v>345</v>
      </c>
      <c r="H26" s="41" t="s">
        <v>780</v>
      </c>
      <c r="I26" s="40" t="n">
        <v>0</v>
      </c>
      <c r="J26" s="43" t="n">
        <v>44013</v>
      </c>
      <c r="K26" s="44"/>
      <c r="L26" s="44"/>
      <c r="M26" s="44"/>
      <c r="N26" s="44"/>
      <c r="O26" s="44"/>
      <c r="P26" s="44"/>
      <c r="Q26" s="84"/>
    </row>
    <row r="27" customFormat="false" ht="12.75" hidden="false" customHeight="false" outlineLevel="0" collapsed="false">
      <c r="A27" s="45" t="s">
        <v>817</v>
      </c>
      <c r="B27" s="46" t="n">
        <v>6140666</v>
      </c>
      <c r="C27" s="48" t="s">
        <v>648</v>
      </c>
      <c r="D27" s="48" t="s">
        <v>601</v>
      </c>
      <c r="E27" s="48" t="s">
        <v>344</v>
      </c>
      <c r="F27" s="48" t="s">
        <v>649</v>
      </c>
      <c r="G27" s="48" t="s">
        <v>345</v>
      </c>
      <c r="H27" s="48" t="s">
        <v>780</v>
      </c>
      <c r="I27" s="46" t="n">
        <v>0</v>
      </c>
      <c r="J27" s="49" t="n">
        <v>44013</v>
      </c>
      <c r="K27" s="47"/>
      <c r="L27" s="47"/>
      <c r="M27" s="47"/>
      <c r="N27" s="47"/>
      <c r="O27" s="47"/>
      <c r="P27" s="47"/>
      <c r="Q27" s="85"/>
    </row>
    <row r="28" customFormat="false" ht="12.75" hidden="false" customHeight="false" outlineLevel="0" collapsed="false">
      <c r="A28" s="39" t="s">
        <v>818</v>
      </c>
      <c r="B28" s="83" t="n">
        <v>6140678</v>
      </c>
      <c r="C28" s="41" t="s">
        <v>819</v>
      </c>
      <c r="D28" s="41" t="s">
        <v>601</v>
      </c>
      <c r="E28" s="41" t="s">
        <v>344</v>
      </c>
      <c r="F28" s="41" t="s">
        <v>652</v>
      </c>
      <c r="G28" s="41" t="s">
        <v>345</v>
      </c>
      <c r="H28" s="41" t="s">
        <v>780</v>
      </c>
      <c r="I28" s="40" t="n">
        <v>0</v>
      </c>
      <c r="J28" s="43" t="n">
        <v>44013</v>
      </c>
      <c r="K28" s="44"/>
      <c r="L28" s="44"/>
      <c r="M28" s="44"/>
      <c r="N28" s="44"/>
      <c r="O28" s="44"/>
      <c r="P28" s="44"/>
      <c r="Q28" s="84"/>
    </row>
    <row r="29" customFormat="false" ht="12.75" hidden="false" customHeight="false" outlineLevel="0" collapsed="false">
      <c r="A29" s="45" t="s">
        <v>820</v>
      </c>
      <c r="B29" s="46" t="n">
        <v>6140696</v>
      </c>
      <c r="C29" s="48" t="s">
        <v>654</v>
      </c>
      <c r="D29" s="48" t="s">
        <v>601</v>
      </c>
      <c r="E29" s="48" t="s">
        <v>344</v>
      </c>
      <c r="F29" s="48" t="s">
        <v>370</v>
      </c>
      <c r="G29" s="48" t="s">
        <v>345</v>
      </c>
      <c r="H29" s="48" t="s">
        <v>780</v>
      </c>
      <c r="I29" s="46" t="n">
        <v>0</v>
      </c>
      <c r="J29" s="49" t="n">
        <v>44013</v>
      </c>
      <c r="K29" s="47"/>
      <c r="L29" s="47"/>
      <c r="M29" s="47"/>
      <c r="N29" s="47"/>
      <c r="O29" s="47"/>
      <c r="P29" s="47"/>
      <c r="Q29" s="85"/>
    </row>
    <row r="30" customFormat="false" ht="12.75" hidden="false" customHeight="false" outlineLevel="0" collapsed="false">
      <c r="A30" s="39" t="s">
        <v>821</v>
      </c>
      <c r="B30" s="83" t="n">
        <v>6140707</v>
      </c>
      <c r="C30" s="41" t="s">
        <v>822</v>
      </c>
      <c r="D30" s="41" t="s">
        <v>601</v>
      </c>
      <c r="E30" s="41" t="s">
        <v>344</v>
      </c>
      <c r="F30" s="41" t="s">
        <v>657</v>
      </c>
      <c r="G30" s="41" t="s">
        <v>345</v>
      </c>
      <c r="H30" s="41" t="s">
        <v>780</v>
      </c>
      <c r="I30" s="40" t="n">
        <v>0</v>
      </c>
      <c r="J30" s="43" t="n">
        <v>44013</v>
      </c>
      <c r="K30" s="44"/>
      <c r="L30" s="44"/>
      <c r="M30" s="44"/>
      <c r="N30" s="44"/>
      <c r="O30" s="44"/>
      <c r="P30" s="44"/>
      <c r="Q30" s="84"/>
    </row>
    <row r="31" customFormat="false" ht="12.75" hidden="false" customHeight="false" outlineLevel="0" collapsed="false">
      <c r="A31" s="45" t="s">
        <v>823</v>
      </c>
      <c r="B31" s="46" t="n">
        <v>6140715</v>
      </c>
      <c r="C31" s="48" t="s">
        <v>659</v>
      </c>
      <c r="D31" s="48" t="s">
        <v>601</v>
      </c>
      <c r="E31" s="48" t="s">
        <v>344</v>
      </c>
      <c r="F31" s="48" t="s">
        <v>660</v>
      </c>
      <c r="G31" s="48" t="s">
        <v>345</v>
      </c>
      <c r="H31" s="48" t="s">
        <v>780</v>
      </c>
      <c r="I31" s="46" t="n">
        <v>0</v>
      </c>
      <c r="J31" s="49" t="n">
        <v>44013</v>
      </c>
      <c r="K31" s="47"/>
      <c r="L31" s="47"/>
      <c r="M31" s="47"/>
      <c r="N31" s="47"/>
      <c r="O31" s="47"/>
      <c r="P31" s="47"/>
      <c r="Q31" s="85"/>
    </row>
    <row r="32" customFormat="false" ht="12.75" hidden="false" customHeight="false" outlineLevel="0" collapsed="false">
      <c r="A32" s="39" t="s">
        <v>824</v>
      </c>
      <c r="B32" s="83" t="n">
        <v>6140728</v>
      </c>
      <c r="C32" s="41" t="s">
        <v>825</v>
      </c>
      <c r="D32" s="41" t="s">
        <v>601</v>
      </c>
      <c r="E32" s="41" t="s">
        <v>344</v>
      </c>
      <c r="F32" s="41" t="s">
        <v>826</v>
      </c>
      <c r="G32" s="41" t="s">
        <v>345</v>
      </c>
      <c r="H32" s="41" t="s">
        <v>780</v>
      </c>
      <c r="I32" s="40" t="n">
        <v>0</v>
      </c>
      <c r="J32" s="43" t="n">
        <v>44013</v>
      </c>
      <c r="K32" s="44"/>
      <c r="L32" s="44"/>
      <c r="M32" s="44"/>
      <c r="N32" s="44"/>
      <c r="O32" s="44"/>
      <c r="P32" s="44"/>
      <c r="Q32" s="84"/>
    </row>
    <row r="33" customFormat="false" ht="12.75" hidden="false" customHeight="false" outlineLevel="0" collapsed="false">
      <c r="A33" s="45" t="s">
        <v>827</v>
      </c>
      <c r="B33" s="46" t="n">
        <v>6140738</v>
      </c>
      <c r="C33" s="48" t="s">
        <v>828</v>
      </c>
      <c r="D33" s="48" t="s">
        <v>601</v>
      </c>
      <c r="E33" s="48" t="s">
        <v>344</v>
      </c>
      <c r="F33" s="48" t="s">
        <v>829</v>
      </c>
      <c r="G33" s="48" t="s">
        <v>345</v>
      </c>
      <c r="H33" s="48" t="s">
        <v>780</v>
      </c>
      <c r="I33" s="46" t="n">
        <v>0</v>
      </c>
      <c r="J33" s="49" t="n">
        <v>44013</v>
      </c>
      <c r="K33" s="47"/>
      <c r="L33" s="47"/>
      <c r="M33" s="47"/>
      <c r="N33" s="47"/>
      <c r="O33" s="47"/>
      <c r="P33" s="47"/>
      <c r="Q33" s="85"/>
    </row>
    <row r="34" customFormat="false" ht="12.75" hidden="false" customHeight="false" outlineLevel="0" collapsed="false">
      <c r="A34" s="39" t="s">
        <v>830</v>
      </c>
      <c r="B34" s="83" t="n">
        <v>6140759</v>
      </c>
      <c r="C34" s="41" t="s">
        <v>665</v>
      </c>
      <c r="D34" s="41" t="s">
        <v>601</v>
      </c>
      <c r="E34" s="41" t="s">
        <v>344</v>
      </c>
      <c r="F34" s="41" t="s">
        <v>831</v>
      </c>
      <c r="G34" s="41" t="s">
        <v>345</v>
      </c>
      <c r="H34" s="41" t="s">
        <v>780</v>
      </c>
      <c r="I34" s="40" t="n">
        <v>0</v>
      </c>
      <c r="J34" s="43" t="n">
        <v>44013</v>
      </c>
      <c r="K34" s="44"/>
      <c r="L34" s="44"/>
      <c r="M34" s="44"/>
      <c r="N34" s="44"/>
      <c r="O34" s="44"/>
      <c r="P34" s="44"/>
      <c r="Q34" s="84"/>
    </row>
    <row r="35" customFormat="false" ht="12.75" hidden="false" customHeight="false" outlineLevel="0" collapsed="false">
      <c r="A35" s="45" t="s">
        <v>832</v>
      </c>
      <c r="B35" s="46" t="n">
        <v>6140767</v>
      </c>
      <c r="C35" s="48" t="s">
        <v>833</v>
      </c>
      <c r="D35" s="48" t="s">
        <v>601</v>
      </c>
      <c r="E35" s="48" t="s">
        <v>344</v>
      </c>
      <c r="F35" s="48" t="s">
        <v>834</v>
      </c>
      <c r="G35" s="48" t="s">
        <v>345</v>
      </c>
      <c r="H35" s="48" t="s">
        <v>780</v>
      </c>
      <c r="I35" s="46" t="n">
        <v>0</v>
      </c>
      <c r="J35" s="49" t="n">
        <v>44013</v>
      </c>
      <c r="K35" s="47"/>
      <c r="L35" s="47"/>
      <c r="M35" s="47"/>
      <c r="N35" s="47"/>
      <c r="O35" s="47"/>
      <c r="P35" s="47"/>
      <c r="Q35" s="85"/>
    </row>
    <row r="36" customFormat="false" ht="12.75" hidden="false" customHeight="false" outlineLevel="0" collapsed="false">
      <c r="A36" s="39" t="s">
        <v>835</v>
      </c>
      <c r="B36" s="83" t="n">
        <v>6140778</v>
      </c>
      <c r="C36" s="41" t="s">
        <v>671</v>
      </c>
      <c r="D36" s="41" t="s">
        <v>601</v>
      </c>
      <c r="E36" s="41" t="s">
        <v>344</v>
      </c>
      <c r="F36" s="41" t="s">
        <v>672</v>
      </c>
      <c r="G36" s="41" t="s">
        <v>345</v>
      </c>
      <c r="H36" s="41" t="s">
        <v>780</v>
      </c>
      <c r="I36" s="40" t="n">
        <v>0</v>
      </c>
      <c r="J36" s="43" t="n">
        <v>44013</v>
      </c>
      <c r="K36" s="44"/>
      <c r="L36" s="44"/>
      <c r="M36" s="44"/>
      <c r="N36" s="44"/>
      <c r="O36" s="44"/>
      <c r="P36" s="44"/>
      <c r="Q36" s="84"/>
    </row>
    <row r="37" customFormat="false" ht="12.75" hidden="false" customHeight="false" outlineLevel="0" collapsed="false">
      <c r="A37" s="45" t="s">
        <v>836</v>
      </c>
      <c r="B37" s="46" t="n">
        <v>6140785</v>
      </c>
      <c r="C37" s="48" t="s">
        <v>837</v>
      </c>
      <c r="D37" s="48" t="s">
        <v>601</v>
      </c>
      <c r="E37" s="48" t="s">
        <v>344</v>
      </c>
      <c r="F37" s="48" t="s">
        <v>838</v>
      </c>
      <c r="G37" s="48" t="s">
        <v>345</v>
      </c>
      <c r="H37" s="48" t="s">
        <v>780</v>
      </c>
      <c r="I37" s="46" t="n">
        <v>0</v>
      </c>
      <c r="J37" s="49" t="n">
        <v>44013</v>
      </c>
      <c r="K37" s="47"/>
      <c r="L37" s="47"/>
      <c r="M37" s="47"/>
      <c r="N37" s="47"/>
      <c r="O37" s="47"/>
      <c r="P37" s="47"/>
      <c r="Q37" s="85"/>
    </row>
    <row r="38" customFormat="false" ht="12.75" hidden="false" customHeight="false" outlineLevel="0" collapsed="false">
      <c r="A38" s="39" t="s">
        <v>839</v>
      </c>
      <c r="B38" s="83" t="n">
        <v>6140800</v>
      </c>
      <c r="C38" s="41" t="s">
        <v>548</v>
      </c>
      <c r="D38" s="41" t="s">
        <v>601</v>
      </c>
      <c r="E38" s="41" t="s">
        <v>344</v>
      </c>
      <c r="F38" s="41" t="s">
        <v>197</v>
      </c>
      <c r="G38" s="41" t="s">
        <v>345</v>
      </c>
      <c r="H38" s="41" t="s">
        <v>780</v>
      </c>
      <c r="I38" s="40" t="n">
        <v>0</v>
      </c>
      <c r="J38" s="43" t="n">
        <v>44013</v>
      </c>
      <c r="K38" s="44"/>
      <c r="L38" s="44"/>
      <c r="M38" s="44"/>
      <c r="N38" s="44"/>
      <c r="O38" s="44"/>
      <c r="P38" s="44"/>
      <c r="Q38" s="84"/>
    </row>
    <row r="39" customFormat="false" ht="12.75" hidden="false" customHeight="false" outlineLevel="0" collapsed="false">
      <c r="A39" s="45" t="s">
        <v>840</v>
      </c>
      <c r="B39" s="46" t="n">
        <v>6140807</v>
      </c>
      <c r="C39" s="48" t="s">
        <v>841</v>
      </c>
      <c r="D39" s="48" t="s">
        <v>601</v>
      </c>
      <c r="E39" s="48" t="s">
        <v>344</v>
      </c>
      <c r="F39" s="48" t="s">
        <v>842</v>
      </c>
      <c r="G39" s="48" t="s">
        <v>345</v>
      </c>
      <c r="H39" s="48" t="s">
        <v>780</v>
      </c>
      <c r="I39" s="46" t="n">
        <v>0</v>
      </c>
      <c r="J39" s="49" t="n">
        <v>44013</v>
      </c>
      <c r="K39" s="47"/>
      <c r="L39" s="47"/>
      <c r="M39" s="47"/>
      <c r="N39" s="47"/>
      <c r="O39" s="47"/>
      <c r="P39" s="47"/>
      <c r="Q39" s="85"/>
    </row>
    <row r="40" customFormat="false" ht="12.75" hidden="false" customHeight="false" outlineLevel="0" collapsed="false">
      <c r="A40" s="39" t="s">
        <v>843</v>
      </c>
      <c r="B40" s="83" t="n">
        <v>6141715</v>
      </c>
      <c r="C40" s="41" t="s">
        <v>128</v>
      </c>
      <c r="D40" s="41" t="s">
        <v>601</v>
      </c>
      <c r="E40" s="41" t="s">
        <v>344</v>
      </c>
      <c r="F40" s="41" t="s">
        <v>129</v>
      </c>
      <c r="G40" s="41" t="s">
        <v>345</v>
      </c>
      <c r="H40" s="41" t="s">
        <v>780</v>
      </c>
      <c r="I40" s="40" t="n">
        <v>0</v>
      </c>
      <c r="J40" s="43" t="n">
        <v>44013</v>
      </c>
      <c r="K40" s="44"/>
      <c r="L40" s="44"/>
      <c r="M40" s="44"/>
      <c r="N40" s="44"/>
      <c r="O40" s="44"/>
      <c r="P40" s="44"/>
      <c r="Q40" s="84"/>
    </row>
    <row r="41" customFormat="false" ht="12.75" hidden="false" customHeight="false" outlineLevel="0" collapsed="false">
      <c r="A41" s="45" t="s">
        <v>844</v>
      </c>
      <c r="B41" s="46" t="n">
        <v>6141725</v>
      </c>
      <c r="C41" s="48" t="s">
        <v>137</v>
      </c>
      <c r="D41" s="48" t="s">
        <v>601</v>
      </c>
      <c r="E41" s="48" t="s">
        <v>344</v>
      </c>
      <c r="F41" s="48" t="s">
        <v>138</v>
      </c>
      <c r="G41" s="48" t="s">
        <v>345</v>
      </c>
      <c r="H41" s="48" t="s">
        <v>780</v>
      </c>
      <c r="I41" s="46" t="n">
        <v>0</v>
      </c>
      <c r="J41" s="49" t="n">
        <v>44013</v>
      </c>
      <c r="K41" s="47"/>
      <c r="L41" s="47"/>
      <c r="M41" s="47"/>
      <c r="N41" s="47"/>
      <c r="O41" s="47"/>
      <c r="P41" s="47"/>
      <c r="Q41" s="85"/>
    </row>
    <row r="42" customFormat="false" ht="12.75" hidden="false" customHeight="false" outlineLevel="0" collapsed="false">
      <c r="A42" s="39" t="s">
        <v>845</v>
      </c>
      <c r="B42" s="83" t="n">
        <v>6141739</v>
      </c>
      <c r="C42" s="41" t="s">
        <v>310</v>
      </c>
      <c r="D42" s="41" t="s">
        <v>601</v>
      </c>
      <c r="E42" s="41" t="s">
        <v>344</v>
      </c>
      <c r="F42" s="41" t="s">
        <v>311</v>
      </c>
      <c r="G42" s="41" t="s">
        <v>345</v>
      </c>
      <c r="H42" s="41" t="s">
        <v>780</v>
      </c>
      <c r="I42" s="40" t="n">
        <v>0</v>
      </c>
      <c r="J42" s="43" t="n">
        <v>44013</v>
      </c>
      <c r="K42" s="44"/>
      <c r="L42" s="44"/>
      <c r="M42" s="44"/>
      <c r="N42" s="44"/>
      <c r="O42" s="44"/>
      <c r="P42" s="44"/>
      <c r="Q42" s="84"/>
    </row>
    <row r="43" customFormat="false" ht="12.75" hidden="false" customHeight="false" outlineLevel="0" collapsed="false">
      <c r="A43" s="45" t="s">
        <v>846</v>
      </c>
      <c r="B43" s="46" t="n">
        <v>6141746</v>
      </c>
      <c r="C43" s="48" t="s">
        <v>847</v>
      </c>
      <c r="D43" s="48" t="s">
        <v>601</v>
      </c>
      <c r="E43" s="48" t="s">
        <v>344</v>
      </c>
      <c r="F43" s="48" t="s">
        <v>848</v>
      </c>
      <c r="G43" s="48" t="s">
        <v>345</v>
      </c>
      <c r="H43" s="48" t="s">
        <v>780</v>
      </c>
      <c r="I43" s="46" t="n">
        <v>0</v>
      </c>
      <c r="J43" s="49" t="n">
        <v>44013</v>
      </c>
      <c r="K43" s="47"/>
      <c r="L43" s="47"/>
      <c r="M43" s="47"/>
      <c r="N43" s="47"/>
      <c r="O43" s="47"/>
      <c r="P43" s="47"/>
      <c r="Q43" s="85"/>
    </row>
    <row r="44" customFormat="false" ht="12.75" hidden="false" customHeight="false" outlineLevel="0" collapsed="false">
      <c r="A44" s="39" t="s">
        <v>849</v>
      </c>
      <c r="B44" s="83" t="n">
        <v>6141756</v>
      </c>
      <c r="C44" s="41" t="s">
        <v>687</v>
      </c>
      <c r="D44" s="41" t="s">
        <v>601</v>
      </c>
      <c r="E44" s="41" t="s">
        <v>344</v>
      </c>
      <c r="F44" s="41" t="s">
        <v>688</v>
      </c>
      <c r="G44" s="41" t="s">
        <v>345</v>
      </c>
      <c r="H44" s="41" t="s">
        <v>780</v>
      </c>
      <c r="I44" s="40" t="n">
        <v>0</v>
      </c>
      <c r="J44" s="43" t="n">
        <v>44013</v>
      </c>
      <c r="K44" s="44"/>
      <c r="L44" s="44"/>
      <c r="M44" s="44"/>
      <c r="N44" s="44"/>
      <c r="O44" s="44"/>
      <c r="P44" s="44"/>
      <c r="Q44" s="84"/>
    </row>
    <row r="45" customFormat="false" ht="12.75" hidden="false" customHeight="false" outlineLevel="0" collapsed="false">
      <c r="A45" s="45" t="s">
        <v>850</v>
      </c>
      <c r="B45" s="46" t="n">
        <v>6141763</v>
      </c>
      <c r="C45" s="48" t="s">
        <v>690</v>
      </c>
      <c r="D45" s="48" t="s">
        <v>601</v>
      </c>
      <c r="E45" s="48" t="s">
        <v>344</v>
      </c>
      <c r="F45" s="48" t="s">
        <v>691</v>
      </c>
      <c r="G45" s="48" t="s">
        <v>345</v>
      </c>
      <c r="H45" s="48" t="s">
        <v>780</v>
      </c>
      <c r="I45" s="46" t="n">
        <v>0</v>
      </c>
      <c r="J45" s="49" t="n">
        <v>44013</v>
      </c>
      <c r="K45" s="47"/>
      <c r="L45" s="47"/>
      <c r="M45" s="47"/>
      <c r="N45" s="47"/>
      <c r="O45" s="47"/>
      <c r="P45" s="47"/>
      <c r="Q45" s="85"/>
    </row>
    <row r="46" customFormat="false" ht="12.75" hidden="false" customHeight="false" outlineLevel="0" collapsed="false">
      <c r="A46" s="39" t="s">
        <v>851</v>
      </c>
      <c r="B46" s="83" t="n">
        <v>6141775</v>
      </c>
      <c r="C46" s="41" t="s">
        <v>693</v>
      </c>
      <c r="D46" s="41" t="s">
        <v>601</v>
      </c>
      <c r="E46" s="41" t="s">
        <v>344</v>
      </c>
      <c r="F46" s="41" t="s">
        <v>694</v>
      </c>
      <c r="G46" s="41" t="s">
        <v>345</v>
      </c>
      <c r="H46" s="41" t="s">
        <v>780</v>
      </c>
      <c r="I46" s="40" t="n">
        <v>0</v>
      </c>
      <c r="J46" s="43" t="n">
        <v>44013</v>
      </c>
      <c r="K46" s="44"/>
      <c r="L46" s="44"/>
      <c r="M46" s="44"/>
      <c r="N46" s="44"/>
      <c r="O46" s="44"/>
      <c r="P46" s="44"/>
      <c r="Q46" s="84"/>
    </row>
    <row r="47" customFormat="false" ht="12.75" hidden="false" customHeight="false" outlineLevel="0" collapsed="false">
      <c r="A47" s="45" t="s">
        <v>852</v>
      </c>
      <c r="B47" s="46" t="n">
        <v>6141789</v>
      </c>
      <c r="C47" s="48" t="s">
        <v>853</v>
      </c>
      <c r="D47" s="48" t="s">
        <v>601</v>
      </c>
      <c r="E47" s="48" t="s">
        <v>344</v>
      </c>
      <c r="F47" s="48" t="s">
        <v>854</v>
      </c>
      <c r="G47" s="48" t="s">
        <v>345</v>
      </c>
      <c r="H47" s="48" t="s">
        <v>780</v>
      </c>
      <c r="I47" s="46" t="n">
        <v>0</v>
      </c>
      <c r="J47" s="49" t="n">
        <v>44013</v>
      </c>
      <c r="K47" s="47"/>
      <c r="L47" s="47"/>
      <c r="M47" s="47"/>
      <c r="N47" s="47"/>
      <c r="O47" s="47"/>
      <c r="P47" s="47"/>
      <c r="Q47" s="85"/>
    </row>
    <row r="48" customFormat="false" ht="12.75" hidden="false" customHeight="false" outlineLevel="0" collapsed="false">
      <c r="A48" s="39" t="s">
        <v>855</v>
      </c>
      <c r="B48" s="83" t="n">
        <v>6141813</v>
      </c>
      <c r="C48" s="41" t="s">
        <v>856</v>
      </c>
      <c r="D48" s="41" t="s">
        <v>601</v>
      </c>
      <c r="E48" s="41" t="s">
        <v>344</v>
      </c>
      <c r="F48" s="41" t="s">
        <v>697</v>
      </c>
      <c r="G48" s="41" t="s">
        <v>345</v>
      </c>
      <c r="H48" s="41" t="s">
        <v>780</v>
      </c>
      <c r="I48" s="40" t="n">
        <v>0</v>
      </c>
      <c r="J48" s="43" t="n">
        <v>44013</v>
      </c>
      <c r="K48" s="44"/>
      <c r="L48" s="44"/>
      <c r="M48" s="44"/>
      <c r="N48" s="44"/>
      <c r="O48" s="44"/>
      <c r="P48" s="44"/>
      <c r="Q48" s="84"/>
    </row>
    <row r="49" customFormat="false" ht="12.75" hidden="false" customHeight="false" outlineLevel="0" collapsed="false">
      <c r="A49" s="45" t="s">
        <v>857</v>
      </c>
      <c r="B49" s="46"/>
      <c r="C49" s="48" t="s">
        <v>858</v>
      </c>
      <c r="D49" s="48" t="s">
        <v>601</v>
      </c>
      <c r="E49" s="48" t="s">
        <v>344</v>
      </c>
      <c r="F49" s="48" t="s">
        <v>185</v>
      </c>
      <c r="G49" s="48" t="s">
        <v>345</v>
      </c>
      <c r="H49" s="48" t="s">
        <v>780</v>
      </c>
      <c r="I49" s="46" t="n">
        <v>0</v>
      </c>
      <c r="J49" s="49" t="n">
        <v>44197</v>
      </c>
      <c r="K49" s="47"/>
      <c r="L49" s="47"/>
      <c r="M49" s="47"/>
      <c r="N49" s="47"/>
      <c r="O49" s="47"/>
      <c r="P49" s="47"/>
      <c r="Q49" s="85"/>
    </row>
    <row r="50" customFormat="false" ht="12.75" hidden="false" customHeight="false" outlineLevel="0" collapsed="false">
      <c r="A50" s="39" t="s">
        <v>859</v>
      </c>
      <c r="B50" s="40"/>
      <c r="C50" s="41" t="s">
        <v>860</v>
      </c>
      <c r="D50" s="41" t="s">
        <v>601</v>
      </c>
      <c r="E50" s="41" t="s">
        <v>344</v>
      </c>
      <c r="F50" s="41" t="s">
        <v>861</v>
      </c>
      <c r="G50" s="41" t="s">
        <v>345</v>
      </c>
      <c r="H50" s="41" t="s">
        <v>780</v>
      </c>
      <c r="I50" s="42" t="n">
        <v>0</v>
      </c>
      <c r="J50" s="43" t="n">
        <v>44409</v>
      </c>
      <c r="K50" s="44"/>
      <c r="L50" s="44"/>
      <c r="M50" s="44"/>
      <c r="N50" s="44"/>
      <c r="O50" s="44"/>
      <c r="P50" s="44"/>
      <c r="Q50" s="84"/>
    </row>
    <row r="51" s="55" customFormat="true" ht="12.75" hidden="false" customHeight="false" outlineLevel="0" collapsed="false">
      <c r="A51" s="45" t="s">
        <v>862</v>
      </c>
      <c r="B51" s="50"/>
      <c r="C51" s="48" t="s">
        <v>167</v>
      </c>
      <c r="D51" s="48" t="s">
        <v>601</v>
      </c>
      <c r="E51" s="48" t="s">
        <v>344</v>
      </c>
      <c r="F51" s="48" t="s">
        <v>168</v>
      </c>
      <c r="G51" s="48" t="s">
        <v>345</v>
      </c>
      <c r="H51" s="48" t="s">
        <v>780</v>
      </c>
      <c r="I51" s="50" t="n">
        <v>0</v>
      </c>
      <c r="J51" s="49" t="n">
        <v>44409</v>
      </c>
      <c r="K51" s="47"/>
      <c r="L51" s="47"/>
      <c r="M51" s="47"/>
      <c r="N51" s="47"/>
      <c r="O51" s="47"/>
      <c r="P51" s="47"/>
      <c r="Q51" s="85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customFormat="false" ht="12.75" hidden="false" customHeight="false" outlineLevel="0" collapsed="false">
      <c r="A52" s="39" t="s">
        <v>863</v>
      </c>
      <c r="B52" s="42"/>
      <c r="C52" s="41" t="s">
        <v>864</v>
      </c>
      <c r="D52" s="41" t="s">
        <v>601</v>
      </c>
      <c r="E52" s="41" t="s">
        <v>344</v>
      </c>
      <c r="F52" s="41" t="s">
        <v>865</v>
      </c>
      <c r="G52" s="41" t="s">
        <v>345</v>
      </c>
      <c r="H52" s="41" t="s">
        <v>780</v>
      </c>
      <c r="I52" s="40" t="n">
        <v>0</v>
      </c>
      <c r="J52" s="43" t="n">
        <v>44423</v>
      </c>
      <c r="K52" s="44"/>
      <c r="L52" s="44"/>
      <c r="M52" s="44"/>
      <c r="N52" s="44"/>
      <c r="O52" s="44"/>
      <c r="P52" s="44"/>
      <c r="Q52" s="84"/>
    </row>
    <row r="53" customFormat="false" ht="12.75" hidden="false" customHeight="false" outlineLevel="0" collapsed="false">
      <c r="A53" s="45" t="s">
        <v>866</v>
      </c>
      <c r="B53" s="50"/>
      <c r="C53" s="48" t="s">
        <v>172</v>
      </c>
      <c r="D53" s="48" t="s">
        <v>601</v>
      </c>
      <c r="E53" s="48" t="s">
        <v>344</v>
      </c>
      <c r="F53" s="48" t="s">
        <v>173</v>
      </c>
      <c r="G53" s="48" t="s">
        <v>345</v>
      </c>
      <c r="H53" s="48" t="s">
        <v>780</v>
      </c>
      <c r="I53" s="46" t="n">
        <v>0</v>
      </c>
      <c r="J53" s="49" t="n">
        <v>44424</v>
      </c>
      <c r="K53" s="47"/>
      <c r="L53" s="47"/>
      <c r="M53" s="47"/>
      <c r="N53" s="47"/>
      <c r="O53" s="47"/>
      <c r="P53" s="47"/>
      <c r="Q53" s="85"/>
    </row>
    <row r="54" customFormat="false" ht="12.75" hidden="false" customHeight="false" outlineLevel="0" collapsed="false">
      <c r="A54" s="39" t="s">
        <v>867</v>
      </c>
      <c r="B54" s="42"/>
      <c r="C54" s="41" t="s">
        <v>238</v>
      </c>
      <c r="D54" s="41" t="s">
        <v>601</v>
      </c>
      <c r="E54" s="41" t="s">
        <v>344</v>
      </c>
      <c r="F54" s="41" t="s">
        <v>868</v>
      </c>
      <c r="G54" s="41" t="s">
        <v>345</v>
      </c>
      <c r="H54" s="41" t="s">
        <v>780</v>
      </c>
      <c r="I54" s="40" t="n">
        <v>0</v>
      </c>
      <c r="J54" s="43"/>
      <c r="K54" s="44"/>
      <c r="L54" s="44"/>
      <c r="M54" s="44"/>
      <c r="N54" s="44"/>
      <c r="O54" s="44"/>
      <c r="P54" s="44"/>
      <c r="Q54" s="84"/>
    </row>
    <row r="55" customFormat="false" ht="12.75" hidden="false" customHeight="false" outlineLevel="0" collapsed="false">
      <c r="A55" s="45" t="s">
        <v>869</v>
      </c>
      <c r="B55" s="50"/>
      <c r="C55" s="48" t="s">
        <v>234</v>
      </c>
      <c r="D55" s="48" t="s">
        <v>601</v>
      </c>
      <c r="E55" s="48" t="s">
        <v>344</v>
      </c>
      <c r="F55" s="48" t="s">
        <v>870</v>
      </c>
      <c r="G55" s="48" t="s">
        <v>345</v>
      </c>
      <c r="H55" s="48" t="s">
        <v>780</v>
      </c>
      <c r="I55" s="46" t="n">
        <v>0</v>
      </c>
      <c r="J55" s="49"/>
      <c r="K55" s="47"/>
      <c r="L55" s="47"/>
      <c r="M55" s="47"/>
      <c r="N55" s="47"/>
      <c r="O55" s="47"/>
      <c r="P55" s="47"/>
      <c r="Q55" s="85"/>
    </row>
    <row r="56" customFormat="false" ht="12.75" hidden="false" customHeight="false" outlineLevel="0" collapsed="false">
      <c r="A56" s="39" t="s">
        <v>871</v>
      </c>
      <c r="B56" s="40"/>
      <c r="C56" s="41" t="s">
        <v>872</v>
      </c>
      <c r="D56" s="41" t="s">
        <v>601</v>
      </c>
      <c r="E56" s="41" t="s">
        <v>344</v>
      </c>
      <c r="F56" s="41" t="s">
        <v>873</v>
      </c>
      <c r="G56" s="41" t="s">
        <v>345</v>
      </c>
      <c r="H56" s="41" t="s">
        <v>780</v>
      </c>
      <c r="I56" s="40" t="n">
        <v>0</v>
      </c>
      <c r="J56" s="43"/>
      <c r="K56" s="44"/>
      <c r="L56" s="44"/>
      <c r="M56" s="44"/>
      <c r="N56" s="44"/>
      <c r="O56" s="44"/>
      <c r="P56" s="44"/>
      <c r="Q56" s="84"/>
    </row>
    <row r="57" customFormat="false" ht="12.75" hidden="false" customHeight="false" outlineLevel="0" collapsed="false">
      <c r="A57" s="45" t="s">
        <v>874</v>
      </c>
      <c r="B57" s="46"/>
      <c r="C57" s="48" t="s">
        <v>719</v>
      </c>
      <c r="D57" s="48" t="s">
        <v>601</v>
      </c>
      <c r="E57" s="48" t="s">
        <v>344</v>
      </c>
      <c r="F57" s="48" t="s">
        <v>720</v>
      </c>
      <c r="G57" s="48" t="s">
        <v>345</v>
      </c>
      <c r="H57" s="48" t="s">
        <v>780</v>
      </c>
      <c r="I57" s="46" t="n">
        <v>0</v>
      </c>
      <c r="J57" s="49" t="n">
        <v>44629</v>
      </c>
      <c r="K57" s="47"/>
      <c r="L57" s="47"/>
      <c r="M57" s="47"/>
      <c r="N57" s="47"/>
      <c r="O57" s="47"/>
      <c r="P57" s="47"/>
      <c r="Q57" s="85"/>
    </row>
    <row r="58" customFormat="false" ht="12.75" hidden="false" customHeight="false" outlineLevel="0" collapsed="false">
      <c r="A58" s="39" t="s">
        <v>875</v>
      </c>
      <c r="B58" s="40"/>
      <c r="C58" s="41" t="s">
        <v>876</v>
      </c>
      <c r="D58" s="41" t="s">
        <v>601</v>
      </c>
      <c r="E58" s="41" t="s">
        <v>344</v>
      </c>
      <c r="F58" s="41" t="s">
        <v>877</v>
      </c>
      <c r="G58" s="41" t="s">
        <v>345</v>
      </c>
      <c r="H58" s="41" t="s">
        <v>780</v>
      </c>
      <c r="I58" s="40" t="n">
        <v>0</v>
      </c>
      <c r="J58" s="43" t="n">
        <v>44629</v>
      </c>
      <c r="K58" s="44"/>
      <c r="L58" s="44"/>
      <c r="M58" s="44"/>
      <c r="N58" s="44"/>
      <c r="O58" s="44"/>
      <c r="P58" s="44"/>
      <c r="Q58" s="84"/>
    </row>
    <row r="59" customFormat="false" ht="12.75" hidden="false" customHeight="false" outlineLevel="0" collapsed="false">
      <c r="A59" s="45" t="s">
        <v>878</v>
      </c>
      <c r="B59" s="30"/>
      <c r="C59" s="48" t="s">
        <v>251</v>
      </c>
      <c r="D59" s="48" t="s">
        <v>601</v>
      </c>
      <c r="E59" s="48" t="s">
        <v>344</v>
      </c>
      <c r="F59" s="29" t="s">
        <v>749</v>
      </c>
      <c r="G59" s="48" t="s">
        <v>345</v>
      </c>
      <c r="H59" s="48" t="s">
        <v>780</v>
      </c>
      <c r="I59" s="46" t="n">
        <v>0</v>
      </c>
      <c r="J59" s="49" t="n">
        <v>44629</v>
      </c>
      <c r="K59" s="47"/>
      <c r="L59" s="47"/>
      <c r="M59" s="47"/>
      <c r="N59" s="47"/>
      <c r="O59" s="47"/>
      <c r="P59" s="47"/>
      <c r="Q59" s="85"/>
    </row>
    <row r="60" customFormat="false" ht="12.75" hidden="false" customHeight="false" outlineLevel="0" collapsed="false">
      <c r="A60" s="39" t="s">
        <v>879</v>
      </c>
      <c r="B60" s="28"/>
      <c r="C60" s="27" t="s">
        <v>208</v>
      </c>
      <c r="D60" s="41" t="s">
        <v>601</v>
      </c>
      <c r="E60" s="41" t="s">
        <v>344</v>
      </c>
      <c r="F60" s="27" t="s">
        <v>209</v>
      </c>
      <c r="G60" s="41" t="s">
        <v>345</v>
      </c>
      <c r="H60" s="41" t="s">
        <v>780</v>
      </c>
      <c r="I60" s="40" t="n">
        <v>0</v>
      </c>
      <c r="J60" s="43" t="n">
        <v>44629</v>
      </c>
      <c r="K60" s="44"/>
      <c r="L60" s="44"/>
      <c r="M60" s="44"/>
      <c r="N60" s="44"/>
      <c r="O60" s="44"/>
      <c r="P60" s="44"/>
      <c r="Q60" s="84"/>
    </row>
    <row r="61" customFormat="false" ht="12.75" hidden="false" customHeight="false" outlineLevel="0" collapsed="false">
      <c r="A61" s="45" t="s">
        <v>880</v>
      </c>
      <c r="B61" s="30"/>
      <c r="C61" s="29" t="s">
        <v>881</v>
      </c>
      <c r="D61" s="48" t="s">
        <v>601</v>
      </c>
      <c r="E61" s="48" t="s">
        <v>344</v>
      </c>
      <c r="F61" s="29" t="s">
        <v>728</v>
      </c>
      <c r="G61" s="48" t="s">
        <v>345</v>
      </c>
      <c r="H61" s="48" t="s">
        <v>780</v>
      </c>
      <c r="I61" s="30" t="n">
        <v>0</v>
      </c>
      <c r="J61" s="49" t="n">
        <v>44629</v>
      </c>
      <c r="K61" s="47"/>
      <c r="L61" s="47"/>
      <c r="M61" s="47"/>
      <c r="N61" s="47"/>
      <c r="O61" s="47"/>
      <c r="P61" s="47"/>
      <c r="Q61" s="85"/>
    </row>
    <row r="62" customFormat="false" ht="12.75" hidden="false" customHeight="false" outlineLevel="0" collapsed="false">
      <c r="A62" s="39" t="s">
        <v>882</v>
      </c>
      <c r="B62" s="28"/>
      <c r="C62" s="27" t="s">
        <v>557</v>
      </c>
      <c r="D62" s="41" t="s">
        <v>601</v>
      </c>
      <c r="E62" s="41" t="s">
        <v>344</v>
      </c>
      <c r="F62" s="27" t="s">
        <v>558</v>
      </c>
      <c r="G62" s="41" t="s">
        <v>345</v>
      </c>
      <c r="H62" s="41" t="s">
        <v>780</v>
      </c>
      <c r="I62" s="28" t="n">
        <v>0</v>
      </c>
      <c r="J62" s="43" t="n">
        <v>44629</v>
      </c>
      <c r="K62" s="44"/>
      <c r="L62" s="44"/>
      <c r="M62" s="44"/>
      <c r="N62" s="44"/>
      <c r="O62" s="44"/>
      <c r="P62" s="44"/>
      <c r="Q62" s="84"/>
    </row>
    <row r="63" customFormat="false" ht="12.75" hidden="false" customHeight="false" outlineLevel="0" collapsed="false">
      <c r="A63" s="45" t="s">
        <v>883</v>
      </c>
      <c r="B63" s="30"/>
      <c r="C63" s="29" t="s">
        <v>248</v>
      </c>
      <c r="D63" s="48" t="s">
        <v>601</v>
      </c>
      <c r="E63" s="48" t="s">
        <v>344</v>
      </c>
      <c r="F63" s="29" t="s">
        <v>884</v>
      </c>
      <c r="G63" s="48" t="s">
        <v>345</v>
      </c>
      <c r="H63" s="48" t="s">
        <v>780</v>
      </c>
      <c r="I63" s="46" t="n">
        <v>0</v>
      </c>
      <c r="J63" s="49" t="n">
        <v>44629</v>
      </c>
      <c r="K63" s="47"/>
      <c r="L63" s="47"/>
      <c r="M63" s="47"/>
      <c r="N63" s="47"/>
      <c r="O63" s="47"/>
      <c r="P63" s="47"/>
      <c r="Q63" s="85"/>
    </row>
    <row r="64" customFormat="false" ht="12.75" hidden="false" customHeight="false" outlineLevel="0" collapsed="false">
      <c r="A64" s="39" t="s">
        <v>885</v>
      </c>
      <c r="B64" s="28"/>
      <c r="C64" s="60" t="s">
        <v>91</v>
      </c>
      <c r="D64" s="41" t="s">
        <v>601</v>
      </c>
      <c r="E64" s="41" t="s">
        <v>344</v>
      </c>
      <c r="F64" s="60" t="s">
        <v>92</v>
      </c>
      <c r="G64" s="41" t="s">
        <v>345</v>
      </c>
      <c r="H64" s="41" t="s">
        <v>780</v>
      </c>
      <c r="I64" s="40" t="n">
        <v>0</v>
      </c>
      <c r="J64" s="43" t="n">
        <v>44629</v>
      </c>
      <c r="K64" s="44"/>
      <c r="L64" s="44"/>
      <c r="M64" s="44"/>
      <c r="N64" s="44"/>
      <c r="O64" s="44"/>
      <c r="P64" s="44"/>
      <c r="Q64" s="84"/>
    </row>
    <row r="65" customFormat="false" ht="12.75" hidden="false" customHeight="false" outlineLevel="0" collapsed="false">
      <c r="A65" s="45" t="s">
        <v>886</v>
      </c>
      <c r="B65" s="30"/>
      <c r="C65" s="48" t="s">
        <v>245</v>
      </c>
      <c r="D65" s="48" t="s">
        <v>601</v>
      </c>
      <c r="E65" s="48" t="s">
        <v>344</v>
      </c>
      <c r="F65" s="48" t="s">
        <v>246</v>
      </c>
      <c r="G65" s="48" t="s">
        <v>345</v>
      </c>
      <c r="H65" s="48" t="s">
        <v>780</v>
      </c>
      <c r="I65" s="46" t="n">
        <v>0</v>
      </c>
      <c r="J65" s="49" t="n">
        <v>44629</v>
      </c>
      <c r="K65" s="47"/>
      <c r="L65" s="47"/>
      <c r="M65" s="47"/>
      <c r="N65" s="47"/>
      <c r="O65" s="47"/>
      <c r="P65" s="47"/>
      <c r="Q65" s="85"/>
    </row>
    <row r="66" customFormat="false" ht="12.75" hidden="false" customHeight="false" outlineLevel="0" collapsed="false">
      <c r="A66" s="27" t="s">
        <v>887</v>
      </c>
      <c r="B66" s="28"/>
      <c r="C66" s="27" t="s">
        <v>160</v>
      </c>
      <c r="D66" s="27" t="s">
        <v>601</v>
      </c>
      <c r="E66" s="27" t="s">
        <v>344</v>
      </c>
      <c r="F66" s="27" t="s">
        <v>392</v>
      </c>
      <c r="G66" s="27" t="s">
        <v>345</v>
      </c>
      <c r="H66" s="27" t="s">
        <v>780</v>
      </c>
      <c r="I66" s="28" t="n">
        <v>0</v>
      </c>
      <c r="J66" s="76" t="n">
        <v>44677</v>
      </c>
      <c r="K66" s="44"/>
      <c r="L66" s="44"/>
      <c r="M66" s="44"/>
      <c r="N66" s="44"/>
      <c r="O66" s="44"/>
      <c r="P66" s="44"/>
      <c r="Q66" s="84"/>
    </row>
    <row r="67" customFormat="false" ht="12.75" hidden="false" customHeight="false" outlineLevel="0" collapsed="false">
      <c r="A67" s="29" t="s">
        <v>888</v>
      </c>
      <c r="B67" s="30"/>
      <c r="C67" s="29" t="s">
        <v>157</v>
      </c>
      <c r="D67" s="29" t="s">
        <v>601</v>
      </c>
      <c r="E67" s="29" t="s">
        <v>344</v>
      </c>
      <c r="F67" s="29" t="s">
        <v>158</v>
      </c>
      <c r="G67" s="29" t="s">
        <v>345</v>
      </c>
      <c r="H67" s="29" t="s">
        <v>780</v>
      </c>
      <c r="I67" s="30" t="n">
        <v>0</v>
      </c>
      <c r="J67" s="75" t="n">
        <v>44677</v>
      </c>
      <c r="K67" s="47"/>
      <c r="L67" s="47"/>
      <c r="M67" s="47"/>
      <c r="N67" s="47"/>
      <c r="O67" s="47"/>
      <c r="P67" s="47"/>
      <c r="Q67" s="85"/>
    </row>
    <row r="68" customFormat="false" ht="12.75" hidden="false" customHeight="false" outlineLevel="0" collapsed="false">
      <c r="A68" s="27" t="s">
        <v>889</v>
      </c>
      <c r="B68" s="28"/>
      <c r="C68" s="27" t="s">
        <v>258</v>
      </c>
      <c r="D68" s="27" t="s">
        <v>601</v>
      </c>
      <c r="E68" s="27" t="s">
        <v>344</v>
      </c>
      <c r="F68" s="27" t="s">
        <v>259</v>
      </c>
      <c r="G68" s="27" t="s">
        <v>345</v>
      </c>
      <c r="H68" s="27" t="s">
        <v>780</v>
      </c>
      <c r="I68" s="28" t="n">
        <v>0</v>
      </c>
      <c r="J68" s="76" t="n">
        <v>44700</v>
      </c>
      <c r="K68" s="44"/>
      <c r="L68" s="44"/>
      <c r="M68" s="44"/>
      <c r="N68" s="44"/>
      <c r="O68" s="44"/>
      <c r="P68" s="44"/>
      <c r="Q68" s="84"/>
    </row>
    <row r="69" customFormat="false" ht="12.75" hidden="false" customHeight="false" outlineLevel="0" collapsed="false">
      <c r="A69" s="29" t="s">
        <v>890</v>
      </c>
      <c r="B69" s="30"/>
      <c r="C69" s="29" t="s">
        <v>891</v>
      </c>
      <c r="D69" s="29" t="s">
        <v>601</v>
      </c>
      <c r="E69" s="29" t="s">
        <v>344</v>
      </c>
      <c r="F69" s="29" t="s">
        <v>892</v>
      </c>
      <c r="G69" s="29" t="s">
        <v>345</v>
      </c>
      <c r="H69" s="29" t="s">
        <v>780</v>
      </c>
      <c r="I69" s="30" t="n">
        <v>0</v>
      </c>
      <c r="J69" s="68" t="n">
        <v>44682</v>
      </c>
      <c r="K69" s="47"/>
      <c r="L69" s="47"/>
      <c r="M69" s="47"/>
      <c r="N69" s="47"/>
      <c r="O69" s="47"/>
      <c r="P69" s="47"/>
      <c r="Q69" s="85"/>
    </row>
    <row r="70" customFormat="false" ht="12.75" hidden="false" customHeight="false" outlineLevel="0" collapsed="false">
      <c r="A70" s="27" t="s">
        <v>893</v>
      </c>
      <c r="B70" s="28"/>
      <c r="C70" s="27" t="s">
        <v>81</v>
      </c>
      <c r="D70" s="27" t="s">
        <v>601</v>
      </c>
      <c r="E70" s="27" t="s">
        <v>344</v>
      </c>
      <c r="F70" s="27" t="s">
        <v>82</v>
      </c>
      <c r="G70" s="27" t="s">
        <v>345</v>
      </c>
      <c r="H70" s="27" t="s">
        <v>780</v>
      </c>
      <c r="I70" s="28" t="n">
        <v>0</v>
      </c>
      <c r="J70" s="76" t="n">
        <v>44700</v>
      </c>
      <c r="K70" s="44"/>
      <c r="L70" s="44"/>
      <c r="M70" s="44"/>
      <c r="N70" s="44"/>
      <c r="O70" s="44"/>
      <c r="P70" s="44"/>
      <c r="Q70" s="84"/>
    </row>
    <row r="71" customFormat="false" ht="12.75" hidden="false" customHeight="false" outlineLevel="0" collapsed="false">
      <c r="A71" s="59" t="s">
        <v>894</v>
      </c>
      <c r="B71" s="30"/>
      <c r="C71" s="29" t="s">
        <v>754</v>
      </c>
      <c r="D71" s="29" t="s">
        <v>601</v>
      </c>
      <c r="E71" s="29" t="s">
        <v>344</v>
      </c>
      <c r="F71" s="29" t="s">
        <v>271</v>
      </c>
      <c r="G71" s="29" t="s">
        <v>345</v>
      </c>
      <c r="H71" s="29" t="s">
        <v>780</v>
      </c>
      <c r="I71" s="30" t="n">
        <v>0</v>
      </c>
      <c r="J71" s="75" t="n">
        <v>44700</v>
      </c>
      <c r="K71" s="47"/>
      <c r="L71" s="47"/>
      <c r="M71" s="47"/>
      <c r="N71" s="47"/>
      <c r="O71" s="47"/>
      <c r="P71" s="47"/>
      <c r="Q71" s="85"/>
    </row>
    <row r="72" customFormat="false" ht="12.75" hidden="false" customHeight="false" outlineLevel="0" collapsed="false">
      <c r="A72" s="27" t="s">
        <v>895</v>
      </c>
      <c r="B72" s="28"/>
      <c r="C72" s="27" t="s">
        <v>896</v>
      </c>
      <c r="D72" s="27" t="s">
        <v>601</v>
      </c>
      <c r="E72" s="27" t="s">
        <v>344</v>
      </c>
      <c r="F72" s="60" t="s">
        <v>897</v>
      </c>
      <c r="G72" s="27" t="s">
        <v>345</v>
      </c>
      <c r="H72" s="27" t="s">
        <v>780</v>
      </c>
      <c r="I72" s="28" t="n">
        <v>0</v>
      </c>
      <c r="J72" s="76" t="n">
        <v>44700</v>
      </c>
      <c r="K72" s="44"/>
      <c r="L72" s="44"/>
      <c r="M72" s="44"/>
      <c r="N72" s="44"/>
      <c r="O72" s="44"/>
      <c r="P72" s="44"/>
      <c r="Q72" s="84"/>
    </row>
    <row r="73" customFormat="false" ht="12.75" hidden="false" customHeight="false" outlineLevel="0" collapsed="false">
      <c r="A73" s="29" t="s">
        <v>898</v>
      </c>
      <c r="B73" s="30"/>
      <c r="C73" s="59" t="s">
        <v>899</v>
      </c>
      <c r="D73" s="29" t="s">
        <v>601</v>
      </c>
      <c r="E73" s="29" t="s">
        <v>344</v>
      </c>
      <c r="F73" s="59" t="s">
        <v>900</v>
      </c>
      <c r="G73" s="29" t="s">
        <v>345</v>
      </c>
      <c r="H73" s="29" t="s">
        <v>780</v>
      </c>
      <c r="I73" s="30" t="n">
        <v>0</v>
      </c>
      <c r="J73" s="75" t="n">
        <v>44713</v>
      </c>
      <c r="K73" s="47"/>
      <c r="L73" s="47"/>
      <c r="M73" s="47"/>
      <c r="N73" s="47"/>
      <c r="O73" s="47"/>
      <c r="P73" s="47"/>
      <c r="Q73" s="85"/>
    </row>
    <row r="74" customFormat="false" ht="12.75" hidden="false" customHeight="false" outlineLevel="0" collapsed="false">
      <c r="A74" s="27" t="s">
        <v>901</v>
      </c>
      <c r="B74" s="28"/>
      <c r="C74" s="60" t="s">
        <v>902</v>
      </c>
      <c r="D74" s="27" t="s">
        <v>601</v>
      </c>
      <c r="E74" s="27" t="s">
        <v>344</v>
      </c>
      <c r="F74" s="60" t="s">
        <v>903</v>
      </c>
      <c r="G74" s="27" t="s">
        <v>345</v>
      </c>
      <c r="H74" s="27" t="s">
        <v>780</v>
      </c>
      <c r="I74" s="28" t="n">
        <v>0</v>
      </c>
      <c r="J74" s="76"/>
      <c r="K74" s="44"/>
      <c r="L74" s="44"/>
      <c r="M74" s="44"/>
      <c r="N74" s="44"/>
      <c r="O74" s="44"/>
      <c r="P74" s="44"/>
      <c r="Q74" s="84"/>
    </row>
    <row r="75" customFormat="false" ht="12.75" hidden="false" customHeight="false" outlineLevel="0" collapsed="false">
      <c r="A75" s="29" t="s">
        <v>904</v>
      </c>
      <c r="B75" s="30"/>
      <c r="C75" s="29" t="s">
        <v>905</v>
      </c>
      <c r="D75" s="29" t="s">
        <v>601</v>
      </c>
      <c r="E75" s="29" t="s">
        <v>344</v>
      </c>
      <c r="F75" s="29" t="s">
        <v>906</v>
      </c>
      <c r="G75" s="29" t="s">
        <v>345</v>
      </c>
      <c r="H75" s="29" t="s">
        <v>780</v>
      </c>
      <c r="I75" s="30" t="n">
        <v>0</v>
      </c>
      <c r="J75" s="75"/>
      <c r="K75" s="47"/>
      <c r="L75" s="47"/>
      <c r="M75" s="47"/>
      <c r="N75" s="47"/>
      <c r="O75" s="47"/>
      <c r="P75" s="47"/>
      <c r="Q75" s="85"/>
    </row>
    <row r="76" customFormat="false" ht="12.75" hidden="false" customHeight="false" outlineLevel="0" collapsed="false">
      <c r="A76" s="27" t="s">
        <v>907</v>
      </c>
      <c r="B76" s="28"/>
      <c r="C76" s="27" t="s">
        <v>693</v>
      </c>
      <c r="D76" s="27" t="s">
        <v>601</v>
      </c>
      <c r="E76" s="27" t="s">
        <v>344</v>
      </c>
      <c r="F76" s="27" t="s">
        <v>694</v>
      </c>
      <c r="G76" s="27" t="s">
        <v>345</v>
      </c>
      <c r="H76" s="27" t="s">
        <v>780</v>
      </c>
      <c r="I76" s="28" t="n">
        <v>0</v>
      </c>
      <c r="J76" s="76"/>
      <c r="K76" s="44"/>
      <c r="L76" s="44"/>
      <c r="M76" s="44"/>
      <c r="N76" s="44"/>
      <c r="O76" s="44"/>
      <c r="P76" s="44"/>
      <c r="Q76" s="84"/>
    </row>
    <row r="77" customFormat="false" ht="12.75" hidden="false" customHeight="false" outlineLevel="0" collapsed="false">
      <c r="A77" s="29" t="s">
        <v>908</v>
      </c>
      <c r="B77" s="30"/>
      <c r="C77" s="29" t="s">
        <v>909</v>
      </c>
      <c r="D77" s="29" t="s">
        <v>601</v>
      </c>
      <c r="E77" s="29" t="s">
        <v>344</v>
      </c>
      <c r="F77" s="29" t="s">
        <v>910</v>
      </c>
      <c r="G77" s="29" t="s">
        <v>345</v>
      </c>
      <c r="H77" s="29" t="s">
        <v>780</v>
      </c>
      <c r="I77" s="30" t="n">
        <v>0</v>
      </c>
      <c r="J77" s="75"/>
      <c r="K77" s="47"/>
      <c r="L77" s="47"/>
      <c r="M77" s="47"/>
      <c r="N77" s="47"/>
      <c r="O77" s="47"/>
      <c r="P77" s="47"/>
      <c r="Q77" s="85"/>
    </row>
    <row r="78" customFormat="false" ht="12.75" hidden="false" customHeight="false" outlineLevel="0" collapsed="false">
      <c r="A78" s="27" t="s">
        <v>911</v>
      </c>
      <c r="B78" s="28"/>
      <c r="C78" s="27" t="s">
        <v>227</v>
      </c>
      <c r="D78" s="27" t="s">
        <v>601</v>
      </c>
      <c r="E78" s="27" t="s">
        <v>344</v>
      </c>
      <c r="F78" s="27" t="s">
        <v>912</v>
      </c>
      <c r="G78" s="27" t="s">
        <v>345</v>
      </c>
      <c r="H78" s="27" t="s">
        <v>780</v>
      </c>
      <c r="I78" s="28" t="n">
        <v>0</v>
      </c>
      <c r="J78" s="76" t="n">
        <v>44774</v>
      </c>
      <c r="K78" s="44"/>
      <c r="L78" s="44"/>
      <c r="M78" s="44"/>
      <c r="N78" s="44"/>
      <c r="O78" s="44"/>
      <c r="P78" s="44"/>
      <c r="Q78" s="84"/>
    </row>
    <row r="79" customFormat="false" ht="12.75" hidden="false" customHeight="false" outlineLevel="0" collapsed="false">
      <c r="A79" s="29" t="s">
        <v>913</v>
      </c>
      <c r="B79" s="30"/>
      <c r="C79" s="29" t="s">
        <v>221</v>
      </c>
      <c r="D79" s="29" t="s">
        <v>601</v>
      </c>
      <c r="E79" s="29" t="s">
        <v>344</v>
      </c>
      <c r="F79" s="29" t="s">
        <v>222</v>
      </c>
      <c r="G79" s="29" t="s">
        <v>345</v>
      </c>
      <c r="H79" s="29" t="s">
        <v>780</v>
      </c>
      <c r="I79" s="30" t="n">
        <v>0</v>
      </c>
      <c r="J79" s="75" t="n">
        <v>44826</v>
      </c>
      <c r="K79" s="47"/>
      <c r="L79" s="47"/>
      <c r="M79" s="47"/>
      <c r="N79" s="47"/>
      <c r="O79" s="47"/>
      <c r="P79" s="47"/>
      <c r="Q79" s="85"/>
    </row>
    <row r="80" customFormat="false" ht="12.75" hidden="false" customHeight="false" outlineLevel="0" collapsed="false">
      <c r="A80" s="27" t="s">
        <v>914</v>
      </c>
      <c r="B80" s="28"/>
      <c r="C80" s="27" t="s">
        <v>288</v>
      </c>
      <c r="D80" s="27" t="s">
        <v>601</v>
      </c>
      <c r="E80" s="27" t="s">
        <v>344</v>
      </c>
      <c r="F80" s="27" t="s">
        <v>449</v>
      </c>
      <c r="G80" s="27" t="s">
        <v>345</v>
      </c>
      <c r="H80" s="27" t="s">
        <v>780</v>
      </c>
      <c r="I80" s="28" t="n">
        <v>0</v>
      </c>
      <c r="J80" s="27"/>
      <c r="K80" s="44"/>
      <c r="L80" s="44"/>
      <c r="M80" s="44"/>
      <c r="N80" s="44"/>
      <c r="O80" s="44"/>
      <c r="P80" s="44"/>
      <c r="Q80" s="84"/>
    </row>
    <row r="81" customFormat="false" ht="12.75" hidden="false" customHeight="false" outlineLevel="0" collapsed="false">
      <c r="A81" s="29" t="s">
        <v>915</v>
      </c>
      <c r="B81" s="30"/>
      <c r="C81" s="29" t="s">
        <v>916</v>
      </c>
      <c r="D81" s="29" t="s">
        <v>601</v>
      </c>
      <c r="E81" s="29" t="s">
        <v>344</v>
      </c>
      <c r="F81" s="29" t="s">
        <v>917</v>
      </c>
      <c r="G81" s="29" t="s">
        <v>345</v>
      </c>
      <c r="H81" s="29" t="s">
        <v>780</v>
      </c>
      <c r="I81" s="30" t="n">
        <v>0</v>
      </c>
      <c r="J81" s="29"/>
      <c r="K81" s="47"/>
      <c r="L81" s="47"/>
      <c r="M81" s="47"/>
      <c r="N81" s="47"/>
      <c r="O81" s="47"/>
      <c r="P81" s="47"/>
      <c r="Q81" s="85"/>
    </row>
    <row r="82" customFormat="false" ht="12.75" hidden="false" customHeight="false" outlineLevel="0" collapsed="false">
      <c r="A82" s="27" t="s">
        <v>918</v>
      </c>
      <c r="B82" s="28"/>
      <c r="C82" s="27" t="s">
        <v>242</v>
      </c>
      <c r="D82" s="27" t="s">
        <v>601</v>
      </c>
      <c r="E82" s="27" t="s">
        <v>344</v>
      </c>
      <c r="F82" s="41" t="s">
        <v>436</v>
      </c>
      <c r="G82" s="27" t="s">
        <v>345</v>
      </c>
      <c r="H82" s="27" t="s">
        <v>780</v>
      </c>
      <c r="I82" s="28" t="n">
        <v>0</v>
      </c>
      <c r="J82" s="27"/>
      <c r="K82" s="44"/>
      <c r="L82" s="44"/>
      <c r="M82" s="44"/>
      <c r="N82" s="44"/>
      <c r="O82" s="44"/>
      <c r="P82" s="44"/>
      <c r="Q82" s="84"/>
    </row>
    <row r="83" customFormat="false" ht="12.75" hidden="false" customHeight="false" outlineLevel="0" collapsed="false">
      <c r="A83" s="29" t="s">
        <v>919</v>
      </c>
      <c r="B83" s="30"/>
      <c r="C83" s="29" t="s">
        <v>920</v>
      </c>
      <c r="D83" s="29" t="s">
        <v>601</v>
      </c>
      <c r="E83" s="29" t="s">
        <v>344</v>
      </c>
      <c r="F83" s="29" t="s">
        <v>454</v>
      </c>
      <c r="G83" s="29" t="s">
        <v>345</v>
      </c>
      <c r="H83" s="29" t="s">
        <v>780</v>
      </c>
      <c r="I83" s="30" t="n">
        <v>0</v>
      </c>
      <c r="J83" s="29"/>
      <c r="K83" s="47"/>
      <c r="L83" s="47"/>
      <c r="M83" s="47"/>
      <c r="N83" s="47"/>
      <c r="O83" s="47"/>
      <c r="P83" s="47"/>
      <c r="Q83" s="85"/>
    </row>
    <row r="84" customFormat="false" ht="12.75" hidden="false" customHeight="false" outlineLevel="0" collapsed="false">
      <c r="A84" s="27" t="s">
        <v>921</v>
      </c>
      <c r="B84" s="28"/>
      <c r="C84" s="27" t="s">
        <v>264</v>
      </c>
      <c r="D84" s="27" t="s">
        <v>601</v>
      </c>
      <c r="E84" s="27" t="s">
        <v>344</v>
      </c>
      <c r="F84" s="51" t="s">
        <v>265</v>
      </c>
      <c r="G84" s="27" t="s">
        <v>345</v>
      </c>
      <c r="H84" s="27" t="s">
        <v>780</v>
      </c>
      <c r="I84" s="28" t="n">
        <v>0</v>
      </c>
      <c r="J84" s="27"/>
      <c r="K84" s="44"/>
      <c r="L84" s="44"/>
      <c r="M84" s="44"/>
      <c r="N84" s="44"/>
      <c r="O84" s="44"/>
      <c r="P84" s="44"/>
      <c r="Q84" s="84"/>
    </row>
    <row r="85" customFormat="false" ht="12.75" hidden="false" customHeight="false" outlineLevel="0" collapsed="false">
      <c r="A85" s="29" t="s">
        <v>922</v>
      </c>
      <c r="B85" s="30"/>
      <c r="C85" s="29" t="s">
        <v>280</v>
      </c>
      <c r="D85" s="29" t="s">
        <v>601</v>
      </c>
      <c r="E85" s="29" t="s">
        <v>344</v>
      </c>
      <c r="F85" s="29" t="s">
        <v>458</v>
      </c>
      <c r="G85" s="29" t="s">
        <v>345</v>
      </c>
      <c r="H85" s="29" t="s">
        <v>780</v>
      </c>
      <c r="I85" s="30"/>
      <c r="J85" s="29"/>
      <c r="K85" s="47"/>
      <c r="L85" s="47"/>
      <c r="M85" s="47"/>
      <c r="N85" s="47"/>
      <c r="O85" s="47"/>
      <c r="P85" s="47"/>
      <c r="Q85" s="85"/>
    </row>
    <row r="86" customFormat="false" ht="12.75" hidden="false" customHeight="false" outlineLevel="0" collapsed="false">
      <c r="A86" s="27" t="s">
        <v>923</v>
      </c>
      <c r="B86" s="28"/>
      <c r="C86" s="27" t="s">
        <v>304</v>
      </c>
      <c r="D86" s="27" t="s">
        <v>601</v>
      </c>
      <c r="E86" s="27" t="s">
        <v>344</v>
      </c>
      <c r="F86" s="27" t="s">
        <v>463</v>
      </c>
      <c r="G86" s="27" t="s">
        <v>345</v>
      </c>
      <c r="H86" s="27" t="s">
        <v>780</v>
      </c>
      <c r="I86" s="28" t="n">
        <v>0</v>
      </c>
      <c r="J86" s="27"/>
      <c r="K86" s="44"/>
      <c r="L86" s="44"/>
      <c r="M86" s="44"/>
      <c r="N86" s="44"/>
      <c r="O86" s="44"/>
      <c r="P86" s="44"/>
      <c r="Q86" s="84"/>
    </row>
    <row r="87" customFormat="false" ht="12.75" hidden="false" customHeight="false" outlineLevel="0" collapsed="false">
      <c r="A87" s="29" t="s">
        <v>924</v>
      </c>
      <c r="B87" s="30"/>
      <c r="C87" s="29" t="s">
        <v>466</v>
      </c>
      <c r="D87" s="29" t="s">
        <v>601</v>
      </c>
      <c r="E87" s="29" t="s">
        <v>344</v>
      </c>
      <c r="F87" s="29" t="s">
        <v>467</v>
      </c>
      <c r="G87" s="29" t="s">
        <v>345</v>
      </c>
      <c r="H87" s="29" t="s">
        <v>780</v>
      </c>
      <c r="I87" s="30" t="n">
        <v>0</v>
      </c>
      <c r="J87" s="29"/>
      <c r="K87" s="47"/>
      <c r="L87" s="47"/>
      <c r="M87" s="47"/>
      <c r="N87" s="47"/>
      <c r="O87" s="47"/>
      <c r="P87" s="47"/>
      <c r="Q87" s="85"/>
    </row>
    <row r="88" customFormat="false" ht="12.75" hidden="false" customHeight="false" outlineLevel="0" collapsed="false">
      <c r="A88" s="27" t="s">
        <v>925</v>
      </c>
      <c r="B88" s="28"/>
      <c r="C88" s="27" t="s">
        <v>319</v>
      </c>
      <c r="D88" s="27" t="s">
        <v>601</v>
      </c>
      <c r="E88" s="27" t="s">
        <v>344</v>
      </c>
      <c r="F88" s="27" t="s">
        <v>320</v>
      </c>
      <c r="G88" s="27" t="s">
        <v>345</v>
      </c>
      <c r="H88" s="27" t="s">
        <v>780</v>
      </c>
      <c r="I88" s="28"/>
      <c r="J88" s="27"/>
      <c r="K88" s="44"/>
      <c r="L88" s="44"/>
      <c r="M88" s="44"/>
      <c r="N88" s="44"/>
      <c r="O88" s="44"/>
      <c r="P88" s="44"/>
      <c r="Q88" s="84"/>
    </row>
    <row r="89" customFormat="false" ht="12.75" hidden="false" customHeight="false" outlineLevel="0" collapsed="false">
      <c r="A89" s="29" t="s">
        <v>926</v>
      </c>
      <c r="B89" s="30"/>
      <c r="C89" s="29" t="s">
        <v>322</v>
      </c>
      <c r="D89" s="29" t="s">
        <v>601</v>
      </c>
      <c r="E89" s="29" t="s">
        <v>344</v>
      </c>
      <c r="F89" s="52" t="s">
        <v>323</v>
      </c>
      <c r="G89" s="29" t="s">
        <v>345</v>
      </c>
      <c r="H89" s="29" t="s">
        <v>780</v>
      </c>
      <c r="I89" s="30" t="n">
        <v>0</v>
      </c>
      <c r="J89" s="29"/>
      <c r="K89" s="47"/>
      <c r="L89" s="47"/>
      <c r="M89" s="47"/>
      <c r="N89" s="47"/>
      <c r="O89" s="47"/>
      <c r="P89" s="47"/>
      <c r="Q89" s="85"/>
    </row>
    <row r="90" customFormat="false" ht="12.75" hidden="false" customHeight="false" outlineLevel="0" collapsed="false">
      <c r="A90" s="27" t="s">
        <v>927</v>
      </c>
      <c r="B90" s="28"/>
      <c r="C90" s="27" t="s">
        <v>928</v>
      </c>
      <c r="D90" s="27" t="s">
        <v>601</v>
      </c>
      <c r="E90" s="27" t="s">
        <v>344</v>
      </c>
      <c r="F90" s="27" t="s">
        <v>929</v>
      </c>
      <c r="G90" s="27" t="s">
        <v>345</v>
      </c>
      <c r="H90" s="27" t="s">
        <v>780</v>
      </c>
      <c r="I90" s="28" t="n">
        <v>0</v>
      </c>
      <c r="J90" s="27"/>
      <c r="K90" s="44"/>
      <c r="L90" s="44"/>
      <c r="M90" s="44"/>
      <c r="N90" s="44"/>
      <c r="O90" s="44"/>
      <c r="P90" s="44"/>
      <c r="Q90" s="84"/>
    </row>
    <row r="91" customFormat="false" ht="12.75" hidden="false" customHeight="false" outlineLevel="0" collapsed="false">
      <c r="A91" s="29" t="s">
        <v>930</v>
      </c>
      <c r="B91" s="30"/>
      <c r="C91" s="29" t="s">
        <v>931</v>
      </c>
      <c r="D91" s="29" t="s">
        <v>601</v>
      </c>
      <c r="E91" s="29" t="s">
        <v>344</v>
      </c>
      <c r="F91" s="29" t="s">
        <v>932</v>
      </c>
      <c r="G91" s="29" t="s">
        <v>345</v>
      </c>
      <c r="H91" s="29" t="s">
        <v>780</v>
      </c>
      <c r="I91" s="30"/>
      <c r="J91" s="29"/>
      <c r="K91" s="47"/>
      <c r="L91" s="47"/>
      <c r="M91" s="47"/>
      <c r="N91" s="47"/>
      <c r="O91" s="47"/>
      <c r="P91" s="47"/>
      <c r="Q91" s="85"/>
    </row>
    <row r="92" customFormat="false" ht="12.75" hidden="false" customHeight="false" outlineLevel="0" collapsed="false">
      <c r="A92" s="27" t="s">
        <v>933</v>
      </c>
      <c r="B92" s="28"/>
      <c r="C92" s="27" t="s">
        <v>934</v>
      </c>
      <c r="D92" s="27" t="s">
        <v>601</v>
      </c>
      <c r="E92" s="27" t="s">
        <v>344</v>
      </c>
      <c r="F92" s="27" t="s">
        <v>445</v>
      </c>
      <c r="G92" s="27" t="s">
        <v>345</v>
      </c>
      <c r="H92" s="27" t="s">
        <v>780</v>
      </c>
      <c r="I92" s="28" t="n">
        <v>0</v>
      </c>
      <c r="J92" s="27"/>
      <c r="K92" s="44"/>
      <c r="L92" s="44"/>
      <c r="M92" s="44"/>
      <c r="N92" s="44"/>
      <c r="O92" s="44"/>
      <c r="P92" s="44"/>
      <c r="Q92" s="84"/>
    </row>
    <row r="93" customFormat="false" ht="12.75" hidden="false" customHeight="false" outlineLevel="0" collapsed="false">
      <c r="A93" s="29" t="s">
        <v>935</v>
      </c>
      <c r="B93" s="30"/>
      <c r="C93" s="29" t="s">
        <v>936</v>
      </c>
      <c r="D93" s="29" t="s">
        <v>601</v>
      </c>
      <c r="E93" s="29" t="s">
        <v>344</v>
      </c>
      <c r="F93" s="52" t="s">
        <v>937</v>
      </c>
      <c r="G93" s="29" t="s">
        <v>345</v>
      </c>
      <c r="H93" s="29" t="s">
        <v>780</v>
      </c>
      <c r="I93" s="30" t="n">
        <v>0</v>
      </c>
      <c r="J93" s="29"/>
      <c r="K93" s="47"/>
      <c r="L93" s="47"/>
      <c r="M93" s="47"/>
      <c r="N93" s="47"/>
      <c r="O93" s="47"/>
      <c r="P93" s="47"/>
      <c r="Q93" s="85"/>
    </row>
    <row r="94" customFormat="false" ht="12.75" hidden="false" customHeight="false" outlineLevel="0" collapsed="false">
      <c r="A94" s="27" t="s">
        <v>938</v>
      </c>
      <c r="B94" s="28"/>
      <c r="C94" s="51" t="s">
        <v>325</v>
      </c>
      <c r="D94" s="27" t="s">
        <v>601</v>
      </c>
      <c r="E94" s="27" t="s">
        <v>344</v>
      </c>
      <c r="F94" s="51" t="s">
        <v>326</v>
      </c>
      <c r="G94" s="27" t="s">
        <v>345</v>
      </c>
      <c r="H94" s="27" t="s">
        <v>780</v>
      </c>
      <c r="I94" s="28" t="n">
        <v>0</v>
      </c>
      <c r="J94" s="27"/>
      <c r="K94" s="44"/>
      <c r="L94" s="44"/>
      <c r="M94" s="44"/>
      <c r="N94" s="44"/>
      <c r="O94" s="44"/>
      <c r="P94" s="44"/>
      <c r="Q94" s="84"/>
    </row>
    <row r="95" customFormat="false" ht="12.75" hidden="false" customHeight="false" outlineLevel="0" collapsed="false">
      <c r="A95" s="29" t="s">
        <v>939</v>
      </c>
      <c r="B95" s="30"/>
      <c r="C95" s="52" t="s">
        <v>110</v>
      </c>
      <c r="D95" s="29" t="s">
        <v>601</v>
      </c>
      <c r="E95" s="29" t="s">
        <v>344</v>
      </c>
      <c r="F95" s="52" t="s">
        <v>111</v>
      </c>
      <c r="G95" s="29" t="s">
        <v>345</v>
      </c>
      <c r="H95" s="29" t="s">
        <v>780</v>
      </c>
      <c r="I95" s="30" t="n">
        <v>0</v>
      </c>
      <c r="J95" s="29"/>
      <c r="K95" s="47"/>
      <c r="L95" s="47"/>
      <c r="M95" s="47"/>
      <c r="N95" s="47"/>
      <c r="O95" s="47"/>
      <c r="P95" s="47"/>
      <c r="Q95" s="85"/>
    </row>
    <row r="96" customFormat="false" ht="12.75" hidden="false" customHeight="false" outlineLevel="0" collapsed="false">
      <c r="A96" s="27" t="s">
        <v>940</v>
      </c>
      <c r="B96" s="28"/>
      <c r="C96" s="51" t="s">
        <v>328</v>
      </c>
      <c r="D96" s="27" t="s">
        <v>601</v>
      </c>
      <c r="E96" s="27" t="s">
        <v>344</v>
      </c>
      <c r="F96" s="51" t="s">
        <v>329</v>
      </c>
      <c r="G96" s="27" t="s">
        <v>345</v>
      </c>
      <c r="H96" s="27" t="s">
        <v>780</v>
      </c>
      <c r="I96" s="28" t="n">
        <v>0</v>
      </c>
      <c r="J96" s="27"/>
      <c r="K96" s="44"/>
      <c r="L96" s="44"/>
      <c r="M96" s="44"/>
      <c r="N96" s="44"/>
      <c r="O96" s="44"/>
      <c r="P96" s="44"/>
      <c r="Q96" s="84"/>
    </row>
    <row r="97" customFormat="false" ht="12.75" hidden="false" customHeight="false" outlineLevel="0" collapsed="false">
      <c r="A97" s="29" t="s">
        <v>941</v>
      </c>
      <c r="B97" s="30"/>
      <c r="C97" s="52" t="s">
        <v>331</v>
      </c>
      <c r="D97" s="29" t="s">
        <v>601</v>
      </c>
      <c r="E97" s="29" t="s">
        <v>344</v>
      </c>
      <c r="F97" s="52" t="s">
        <v>332</v>
      </c>
      <c r="G97" s="29" t="s">
        <v>345</v>
      </c>
      <c r="H97" s="29" t="s">
        <v>780</v>
      </c>
      <c r="I97" s="30" t="n">
        <v>0</v>
      </c>
      <c r="J97" s="29"/>
      <c r="K97" s="47"/>
      <c r="L97" s="47"/>
      <c r="M97" s="47"/>
      <c r="N97" s="47"/>
      <c r="O97" s="47"/>
      <c r="P97" s="47"/>
      <c r="Q97" s="85"/>
    </row>
    <row r="98" customFormat="false" ht="12.75" hidden="false" customHeight="false" outlineLevel="0" collapsed="false">
      <c r="A98" s="27" t="s">
        <v>942</v>
      </c>
      <c r="B98" s="28"/>
      <c r="C98" s="51" t="s">
        <v>334</v>
      </c>
      <c r="D98" s="27" t="s">
        <v>601</v>
      </c>
      <c r="E98" s="27" t="s">
        <v>344</v>
      </c>
      <c r="F98" s="51" t="s">
        <v>335</v>
      </c>
      <c r="G98" s="27" t="s">
        <v>345</v>
      </c>
      <c r="H98" s="27" t="s">
        <v>780</v>
      </c>
      <c r="I98" s="28" t="n">
        <v>0</v>
      </c>
      <c r="J98" s="27"/>
      <c r="K98" s="44"/>
      <c r="L98" s="44"/>
      <c r="M98" s="44"/>
      <c r="N98" s="44"/>
      <c r="O98" s="44"/>
      <c r="P98" s="44"/>
      <c r="Q98" s="84"/>
    </row>
    <row r="99" customFormat="false" ht="12.75" hidden="false" customHeight="false" outlineLevel="0" collapsed="false">
      <c r="A99" s="29" t="s">
        <v>943</v>
      </c>
      <c r="B99" s="30"/>
      <c r="C99" s="52" t="s">
        <v>336</v>
      </c>
      <c r="D99" s="29" t="s">
        <v>601</v>
      </c>
      <c r="E99" s="29" t="s">
        <v>344</v>
      </c>
      <c r="F99" s="52" t="s">
        <v>337</v>
      </c>
      <c r="G99" s="29" t="s">
        <v>345</v>
      </c>
      <c r="H99" s="29" t="s">
        <v>780</v>
      </c>
      <c r="I99" s="30" t="n">
        <v>0</v>
      </c>
      <c r="J99" s="75" t="n">
        <v>45495</v>
      </c>
      <c r="K99" s="47"/>
      <c r="L99" s="47"/>
      <c r="M99" s="47"/>
      <c r="N99" s="47"/>
      <c r="O99" s="47"/>
      <c r="P99" s="47"/>
      <c r="Q99" s="85"/>
    </row>
  </sheetData>
  <autoFilter ref="A3:Q99"/>
  <mergeCells count="3">
    <mergeCell ref="A1:B2"/>
    <mergeCell ref="C1:J1"/>
    <mergeCell ref="C2:J2"/>
  </mergeCells>
  <conditionalFormatting sqref="N4:N99">
    <cfRule type="cellIs" priority="2" operator="equal" aboveAverage="0" equalAverage="0" bottom="0" percent="0" rank="0" text="" dxfId="8">
      <formula>"Crítica"</formula>
    </cfRule>
    <cfRule type="cellIs" priority="3" operator="equal" aboveAverage="0" equalAverage="0" bottom="0" percent="0" rank="0" text="" dxfId="9">
      <formula>"Média"</formula>
    </cfRule>
    <cfRule type="cellIs" priority="4" operator="equal" aboveAverage="0" equalAverage="0" bottom="0" percent="0" rank="0" text="" dxfId="10">
      <formula>"Baixa"</formula>
    </cfRule>
  </conditionalFormatting>
  <conditionalFormatting sqref="O4:O99">
    <cfRule type="cellIs" priority="5" operator="equal" aboveAverage="0" equalAverage="0" bottom="0" percent="0" rank="0" text="" dxfId="8">
      <formula>"Aberta"</formula>
    </cfRule>
    <cfRule type="cellIs" priority="6" operator="equal" aboveAverage="0" equalAverage="0" bottom="0" percent="0" rank="0" text="" dxfId="11">
      <formula>"Corrigida"</formula>
    </cfRule>
  </conditionalFormatting>
  <dataValidations count="2">
    <dataValidation allowBlank="true" error="Escolha uma opção da lista." errorStyle="stop" errorTitle="Severidade inválida" operator="between" showDropDown="false" showErrorMessage="false" showInputMessage="false" sqref="N4:N99" type="list">
      <formula1>"Crítica,Média,Baixa"</formula1>
      <formula2>0</formula2>
    </dataValidation>
    <dataValidation allowBlank="true" error="Escolha uma opção da lista." errorStyle="stop" errorTitle="Status inválido" operator="between" showDropDown="false" showErrorMessage="false" showInputMessage="false" sqref="O4:O99" type="list">
      <formula1>"Aberta,Corrigida"</formula1>
      <formula2>0</formula2>
    </dataValidation>
  </dataValidations>
  <printOptions headings="false" gridLines="false" gridLinesSet="true" horizontalCentered="false" verticalCentered="false"/>
  <pageMargins left="0.3" right="0.3" top="0.400694444444444" bottom="0.4" header="0.315277777777778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&amp;R&amp;"Aptos,Regular"&amp;1 &amp;K008000  Informação Pública /  Public Information#_x005F_x000d_</oddHeader>
    <oddFooter>&amp;R&amp;"Aptos,Regular"&amp;K008000 _x005F_x000d_# J Mendes - Nome: K19-204-FER-LD-001-R01 -Lista de Documentos Rev.03.xlsx Aberto Por: filipe.souza@jmendes.com.br Data: 2026-08-11T10:27:55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AC109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B21" activeCellId="0" sqref="B2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87" width="11.14"/>
    <col collapsed="false" customWidth="true" hidden="false" outlineLevel="0" max="2" min="2" style="87" width="26.57"/>
    <col collapsed="false" customWidth="true" hidden="false" outlineLevel="0" max="3" min="3" style="87" width="17.71"/>
    <col collapsed="false" customWidth="true" hidden="false" outlineLevel="0" max="4" min="4" style="87" width="42.42"/>
    <col collapsed="false" customWidth="true" hidden="false" outlineLevel="0" max="5" min="5" style="0" width="39.42"/>
    <col collapsed="false" customWidth="true" hidden="false" outlineLevel="0" max="6" min="6" style="0" width="23.29"/>
    <col collapsed="false" customWidth="true" hidden="false" outlineLevel="0" max="7" min="7" style="0" width="16.71"/>
    <col collapsed="false" customWidth="true" hidden="false" outlineLevel="0" max="8" min="8" style="88" width="20.29"/>
    <col collapsed="false" customWidth="true" hidden="false" outlineLevel="0" max="9" min="9" style="0" width="19.42"/>
    <col collapsed="false" customWidth="true" hidden="false" outlineLevel="0" max="10" min="10" style="0" width="19.71"/>
    <col collapsed="false" customWidth="true" hidden="false" outlineLevel="0" max="11" min="11" style="0" width="20"/>
    <col collapsed="false" customWidth="true" hidden="false" outlineLevel="0" max="12" min="12" style="0" width="8.86"/>
    <col collapsed="false" customWidth="true" hidden="false" outlineLevel="0" max="13" min="13" style="0" width="7.71"/>
    <col collapsed="false" customWidth="true" hidden="false" outlineLevel="0" max="14" min="14" style="0" width="11.14"/>
    <col collapsed="false" customWidth="true" hidden="false" outlineLevel="0" max="16" min="15" style="0" width="5.71"/>
    <col collapsed="false" customWidth="true" hidden="false" outlineLevel="0" max="17" min="17" style="0" width="9.71"/>
    <col collapsed="false" customWidth="true" hidden="false" outlineLevel="0" max="18" min="18" style="0" width="23.29"/>
    <col collapsed="false" customWidth="true" hidden="false" outlineLevel="0" max="19" min="19" style="87" width="20"/>
    <col collapsed="false" customWidth="true" hidden="false" outlineLevel="0" max="20" min="20" style="0" width="16.29"/>
    <col collapsed="false" customWidth="true" hidden="false" outlineLevel="0" max="21" min="21" style="87" width="19.71"/>
    <col collapsed="false" customWidth="true" hidden="false" outlineLevel="0" max="22" min="22" style="87" width="17.71"/>
    <col collapsed="false" customWidth="true" hidden="false" outlineLevel="0" max="23" min="23" style="87" width="14"/>
    <col collapsed="false" customWidth="true" hidden="false" outlineLevel="0" max="24" min="24" style="87" width="14.14"/>
    <col collapsed="false" customWidth="true" hidden="false" outlineLevel="0" max="25" min="25" style="87" width="16.57"/>
    <col collapsed="false" customWidth="true" hidden="false" outlineLevel="0" max="26" min="26" style="82" width="21"/>
    <col collapsed="false" customWidth="true" hidden="false" outlineLevel="0" max="27" min="27" style="82" width="13.86"/>
    <col collapsed="false" customWidth="true" hidden="false" outlineLevel="0" max="28" min="28" style="0" width="20"/>
    <col collapsed="false" customWidth="true" hidden="false" outlineLevel="0" max="29" min="29" style="89" width="105.42"/>
  </cols>
  <sheetData>
    <row r="1" customFormat="false" ht="15.75" hidden="false" customHeight="true" outlineLevel="0" collapsed="false">
      <c r="A1" s="90" t="s">
        <v>31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1"/>
    </row>
    <row r="2" customFormat="false" ht="39.75" hidden="false" customHeight="true" outlineLevel="0" collapsed="false">
      <c r="A2" s="37" t="s">
        <v>944</v>
      </c>
      <c r="B2" s="37" t="s">
        <v>945</v>
      </c>
      <c r="C2" s="37" t="s">
        <v>946</v>
      </c>
      <c r="D2" s="37" t="s">
        <v>947</v>
      </c>
      <c r="E2" s="37" t="s">
        <v>35</v>
      </c>
      <c r="F2" s="37" t="s">
        <v>948</v>
      </c>
      <c r="G2" s="37" t="s">
        <v>949</v>
      </c>
      <c r="H2" s="37" t="s">
        <v>950</v>
      </c>
      <c r="I2" s="37" t="s">
        <v>951</v>
      </c>
      <c r="J2" s="37" t="s">
        <v>952</v>
      </c>
      <c r="K2" s="37" t="s">
        <v>953</v>
      </c>
      <c r="L2" s="37" t="s">
        <v>954</v>
      </c>
      <c r="M2" s="37"/>
      <c r="N2" s="37"/>
      <c r="O2" s="37"/>
      <c r="P2" s="37"/>
      <c r="Q2" s="37" t="s">
        <v>955</v>
      </c>
      <c r="R2" s="37" t="s">
        <v>956</v>
      </c>
      <c r="S2" s="37" t="s">
        <v>957</v>
      </c>
      <c r="T2" s="37" t="s">
        <v>958</v>
      </c>
      <c r="U2" s="37" t="s">
        <v>959</v>
      </c>
      <c r="V2" s="37" t="s">
        <v>960</v>
      </c>
      <c r="W2" s="37" t="s">
        <v>961</v>
      </c>
      <c r="X2" s="37" t="s">
        <v>962</v>
      </c>
      <c r="Y2" s="37" t="s">
        <v>963</v>
      </c>
      <c r="Z2" s="37" t="s">
        <v>17</v>
      </c>
      <c r="AA2" s="37" t="s">
        <v>964</v>
      </c>
      <c r="AB2" s="37" t="s">
        <v>965</v>
      </c>
      <c r="AC2" s="37" t="s">
        <v>966</v>
      </c>
    </row>
    <row r="3" customFormat="false" ht="30" hidden="false" customHeight="true" outlineLevel="0" collapsed="false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 t="s">
        <v>967</v>
      </c>
      <c r="M3" s="37" t="s">
        <v>968</v>
      </c>
      <c r="N3" s="37" t="s">
        <v>969</v>
      </c>
      <c r="O3" s="37" t="s">
        <v>970</v>
      </c>
      <c r="P3" s="37" t="s">
        <v>971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customFormat="false" ht="15" hidden="false" customHeight="true" outlineLevel="0" collapsed="false">
      <c r="A4" s="42" t="n">
        <v>2</v>
      </c>
      <c r="B4" s="92" t="n">
        <v>1000</v>
      </c>
      <c r="C4" s="93" t="s">
        <v>972</v>
      </c>
      <c r="D4" s="93"/>
      <c r="E4" s="94" t="s">
        <v>122</v>
      </c>
      <c r="F4" s="39" t="s">
        <v>973</v>
      </c>
      <c r="G4" s="42" t="n">
        <v>6140233</v>
      </c>
      <c r="H4" s="95" t="s">
        <v>606</v>
      </c>
      <c r="I4" s="39" t="s">
        <v>120</v>
      </c>
      <c r="J4" s="39" t="s">
        <v>375</v>
      </c>
      <c r="K4" s="39" t="s">
        <v>522</v>
      </c>
      <c r="L4" s="96" t="n">
        <v>1</v>
      </c>
      <c r="M4" s="96" t="n">
        <v>1</v>
      </c>
      <c r="N4" s="96" t="n">
        <v>1</v>
      </c>
      <c r="O4" s="96" t="n">
        <v>1</v>
      </c>
      <c r="P4" s="97" t="n">
        <f aca="false" t="array" ref="P4:P4">SUM(L4:O4/4)</f>
        <v>1</v>
      </c>
      <c r="Q4" s="97" t="n">
        <v>1</v>
      </c>
      <c r="R4" s="39" t="s">
        <v>974</v>
      </c>
      <c r="S4" s="98" t="n">
        <v>44927</v>
      </c>
      <c r="T4" s="98" t="n">
        <f aca="false">S4+366*3</f>
        <v>46025</v>
      </c>
      <c r="U4" s="42" t="s">
        <v>975</v>
      </c>
      <c r="V4" s="98" t="n">
        <v>45689</v>
      </c>
      <c r="W4" s="99" t="n">
        <f aca="false">V4+31*6</f>
        <v>45875</v>
      </c>
      <c r="X4" s="100" t="n">
        <v>1</v>
      </c>
      <c r="Y4" s="42" t="s">
        <v>121</v>
      </c>
      <c r="Z4" s="101" t="s">
        <v>19</v>
      </c>
      <c r="AA4" s="101" t="s">
        <v>976</v>
      </c>
      <c r="AB4" s="102" t="s">
        <v>977</v>
      </c>
      <c r="AC4" s="103" t="s">
        <v>978</v>
      </c>
    </row>
    <row r="5" customFormat="false" ht="15" hidden="false" customHeight="true" outlineLevel="0" collapsed="false">
      <c r="A5" s="50" t="n">
        <v>3</v>
      </c>
      <c r="B5" s="50" t="n">
        <v>2000</v>
      </c>
      <c r="C5" s="104" t="s">
        <v>979</v>
      </c>
      <c r="D5" s="104" t="s">
        <v>980</v>
      </c>
      <c r="E5" s="48" t="s">
        <v>600</v>
      </c>
      <c r="F5" s="45" t="s">
        <v>981</v>
      </c>
      <c r="G5" s="46" t="n">
        <v>6140206</v>
      </c>
      <c r="H5" s="45" t="s">
        <v>599</v>
      </c>
      <c r="I5" s="45" t="s">
        <v>112</v>
      </c>
      <c r="J5" s="45" t="s">
        <v>371</v>
      </c>
      <c r="K5" s="45" t="s">
        <v>518</v>
      </c>
      <c r="L5" s="105" t="n">
        <v>1</v>
      </c>
      <c r="M5" s="105" t="n">
        <v>1</v>
      </c>
      <c r="N5" s="105" t="n">
        <v>1</v>
      </c>
      <c r="O5" s="105" t="n">
        <v>1</v>
      </c>
      <c r="P5" s="106" t="n">
        <f aca="false" t="array" ref="P5:P5">SUM(L5:O5/4)</f>
        <v>1</v>
      </c>
      <c r="Q5" s="107" t="n">
        <v>1</v>
      </c>
      <c r="R5" s="45" t="s">
        <v>982</v>
      </c>
      <c r="S5" s="108" t="n">
        <v>45474</v>
      </c>
      <c r="T5" s="108" t="n">
        <f aca="false">S5+366*3</f>
        <v>46572</v>
      </c>
      <c r="U5" s="50" t="s">
        <v>983</v>
      </c>
      <c r="V5" s="108" t="n">
        <v>45689</v>
      </c>
      <c r="W5" s="109" t="n">
        <f aca="false">V5+31*6</f>
        <v>45875</v>
      </c>
      <c r="X5" s="110" t="n">
        <v>1</v>
      </c>
      <c r="Y5" s="50" t="s">
        <v>113</v>
      </c>
      <c r="Z5" s="111" t="s">
        <v>19</v>
      </c>
      <c r="AA5" s="30" t="s">
        <v>984</v>
      </c>
      <c r="AB5" s="112" t="s">
        <v>977</v>
      </c>
      <c r="AC5" s="113" t="s">
        <v>978</v>
      </c>
    </row>
    <row r="6" customFormat="false" ht="15" hidden="false" customHeight="true" outlineLevel="0" collapsed="false">
      <c r="A6" s="42"/>
      <c r="B6" s="92" t="n">
        <v>2000</v>
      </c>
      <c r="C6" s="93" t="s">
        <v>979</v>
      </c>
      <c r="D6" s="93" t="s">
        <v>980</v>
      </c>
      <c r="E6" s="94" t="s">
        <v>985</v>
      </c>
      <c r="F6" s="39" t="s">
        <v>986</v>
      </c>
      <c r="G6" s="42" t="s">
        <v>987</v>
      </c>
      <c r="H6" s="95"/>
      <c r="I6" s="39"/>
      <c r="J6" s="39"/>
      <c r="K6" s="39"/>
      <c r="L6" s="96" t="n">
        <v>1</v>
      </c>
      <c r="M6" s="96" t="n">
        <v>1</v>
      </c>
      <c r="N6" s="96" t="n">
        <v>0.5</v>
      </c>
      <c r="O6" s="96" t="n">
        <v>1</v>
      </c>
      <c r="P6" s="97" t="n">
        <f aca="false" t="array" ref="P6:P6">SUM(L6:O6/4)</f>
        <v>0.875</v>
      </c>
      <c r="Q6" s="114" t="n">
        <v>1</v>
      </c>
      <c r="R6" s="42"/>
      <c r="S6" s="98"/>
      <c r="T6" s="42"/>
      <c r="U6" s="40" t="s">
        <v>988</v>
      </c>
      <c r="V6" s="42"/>
      <c r="W6" s="99"/>
      <c r="X6" s="40" t="s">
        <v>988</v>
      </c>
      <c r="Y6" s="40" t="s">
        <v>988</v>
      </c>
      <c r="Z6" s="115" t="s">
        <v>5</v>
      </c>
      <c r="AA6" s="28"/>
      <c r="AB6" s="102" t="s">
        <v>977</v>
      </c>
      <c r="AC6" s="103" t="s">
        <v>989</v>
      </c>
    </row>
    <row r="7" customFormat="false" ht="15" hidden="false" customHeight="true" outlineLevel="0" collapsed="false">
      <c r="A7" s="50"/>
      <c r="B7" s="50" t="n">
        <v>2000</v>
      </c>
      <c r="C7" s="104" t="s">
        <v>979</v>
      </c>
      <c r="D7" s="104" t="s">
        <v>980</v>
      </c>
      <c r="E7" s="48" t="s">
        <v>687</v>
      </c>
      <c r="F7" s="45" t="s">
        <v>990</v>
      </c>
      <c r="G7" s="46" t="n">
        <v>6141756</v>
      </c>
      <c r="H7" s="45" t="s">
        <v>599</v>
      </c>
      <c r="I7" s="45" t="s">
        <v>112</v>
      </c>
      <c r="J7" s="45" t="s">
        <v>371</v>
      </c>
      <c r="K7" s="45" t="s">
        <v>518</v>
      </c>
      <c r="L7" s="105" t="n">
        <v>1</v>
      </c>
      <c r="M7" s="105" t="n">
        <v>1</v>
      </c>
      <c r="N7" s="105" t="n">
        <v>1</v>
      </c>
      <c r="O7" s="105" t="n">
        <v>1</v>
      </c>
      <c r="P7" s="106" t="n">
        <f aca="false" t="array" ref="P7:P7">SUM(L7:O7/4)</f>
        <v>1</v>
      </c>
      <c r="Q7" s="107" t="n">
        <v>1</v>
      </c>
      <c r="R7" s="45" t="s">
        <v>982</v>
      </c>
      <c r="S7" s="108" t="n">
        <v>45474</v>
      </c>
      <c r="T7" s="108" t="n">
        <f aca="false">S7+366*3</f>
        <v>46572</v>
      </c>
      <c r="U7" s="50" t="s">
        <v>991</v>
      </c>
      <c r="V7" s="108" t="n">
        <v>45689</v>
      </c>
      <c r="W7" s="109" t="n">
        <f aca="false">V7+31*6</f>
        <v>45875</v>
      </c>
      <c r="X7" s="110" t="n">
        <v>1</v>
      </c>
      <c r="Y7" s="46" t="s">
        <v>992</v>
      </c>
      <c r="Z7" s="111" t="s">
        <v>19</v>
      </c>
      <c r="AA7" s="30" t="s">
        <v>984</v>
      </c>
      <c r="AB7" s="112" t="s">
        <v>977</v>
      </c>
      <c r="AC7" s="113" t="s">
        <v>978</v>
      </c>
    </row>
    <row r="8" customFormat="false" ht="15" hidden="false" customHeight="true" outlineLevel="0" collapsed="false">
      <c r="A8" s="42" t="n">
        <v>5</v>
      </c>
      <c r="B8" s="92" t="n">
        <v>3000</v>
      </c>
      <c r="C8" s="93" t="s">
        <v>993</v>
      </c>
      <c r="D8" s="93"/>
      <c r="E8" s="94" t="s">
        <v>994</v>
      </c>
      <c r="F8" s="39" t="s">
        <v>995</v>
      </c>
      <c r="G8" s="40" t="n">
        <v>6140221</v>
      </c>
      <c r="H8" s="95" t="s">
        <v>603</v>
      </c>
      <c r="I8" s="42" t="s">
        <v>117</v>
      </c>
      <c r="J8" s="39" t="s">
        <v>374</v>
      </c>
      <c r="K8" s="39" t="s">
        <v>521</v>
      </c>
      <c r="L8" s="96" t="n">
        <v>1</v>
      </c>
      <c r="M8" s="96" t="n">
        <v>1</v>
      </c>
      <c r="N8" s="96" t="n">
        <v>1</v>
      </c>
      <c r="O8" s="96" t="n">
        <v>1</v>
      </c>
      <c r="P8" s="97" t="n">
        <f aca="false" t="array" ref="P8:P8">SUM(L8:O8/4)</f>
        <v>1</v>
      </c>
      <c r="Q8" s="114" t="n">
        <v>1</v>
      </c>
      <c r="R8" s="39" t="s">
        <v>996</v>
      </c>
      <c r="S8" s="98" t="n">
        <v>45748</v>
      </c>
      <c r="T8" s="98" t="n">
        <f aca="false">S8+366*3</f>
        <v>46846</v>
      </c>
      <c r="U8" s="42" t="s">
        <v>997</v>
      </c>
      <c r="V8" s="98" t="n">
        <v>45748</v>
      </c>
      <c r="W8" s="99" t="n">
        <f aca="false">V8+31*6</f>
        <v>45934</v>
      </c>
      <c r="X8" s="100" t="n">
        <v>1</v>
      </c>
      <c r="Y8" s="40" t="n">
        <v>6140221</v>
      </c>
      <c r="Z8" s="101" t="s">
        <v>19</v>
      </c>
      <c r="AA8" s="116" t="s">
        <v>998</v>
      </c>
      <c r="AB8" s="102" t="s">
        <v>977</v>
      </c>
      <c r="AC8" s="103" t="s">
        <v>978</v>
      </c>
    </row>
    <row r="9" customFormat="false" ht="15" hidden="false" customHeight="true" outlineLevel="0" collapsed="false">
      <c r="A9" s="50" t="n">
        <v>7</v>
      </c>
      <c r="B9" s="50" t="n">
        <v>4000</v>
      </c>
      <c r="C9" s="104" t="s">
        <v>999</v>
      </c>
      <c r="D9" s="104" t="s">
        <v>1000</v>
      </c>
      <c r="E9" s="48" t="s">
        <v>1001</v>
      </c>
      <c r="F9" s="45" t="s">
        <v>1002</v>
      </c>
      <c r="G9" s="50" t="n">
        <v>6140297</v>
      </c>
      <c r="H9" s="45" t="s">
        <v>609</v>
      </c>
      <c r="I9" s="45" t="s">
        <v>80</v>
      </c>
      <c r="J9" s="45" t="s">
        <v>356</v>
      </c>
      <c r="K9" s="45" t="s">
        <v>497</v>
      </c>
      <c r="L9" s="105" t="n">
        <v>1</v>
      </c>
      <c r="M9" s="105" t="n">
        <v>1</v>
      </c>
      <c r="N9" s="105" t="n">
        <v>1</v>
      </c>
      <c r="O9" s="105" t="n">
        <v>1</v>
      </c>
      <c r="P9" s="106" t="n">
        <f aca="false" t="array" ref="P9:P9">SUM(L9:O9/4)</f>
        <v>1</v>
      </c>
      <c r="Q9" s="107" t="n">
        <v>1</v>
      </c>
      <c r="R9" s="45" t="s">
        <v>1002</v>
      </c>
      <c r="S9" s="108" t="n">
        <v>44622</v>
      </c>
      <c r="T9" s="109" t="n">
        <f aca="false">S9+366*3</f>
        <v>45720</v>
      </c>
      <c r="U9" s="50" t="s">
        <v>1003</v>
      </c>
      <c r="V9" s="108" t="n">
        <v>45689</v>
      </c>
      <c r="W9" s="109" t="n">
        <f aca="false">SUM(V9+186)</f>
        <v>45875</v>
      </c>
      <c r="X9" s="110" t="n">
        <v>1</v>
      </c>
      <c r="Y9" s="50" t="s">
        <v>1004</v>
      </c>
      <c r="Z9" s="111" t="s">
        <v>19</v>
      </c>
      <c r="AA9" s="30" t="s">
        <v>1005</v>
      </c>
      <c r="AB9" s="112" t="s">
        <v>977</v>
      </c>
      <c r="AC9" s="113" t="s">
        <v>978</v>
      </c>
    </row>
    <row r="10" customFormat="false" ht="15" hidden="false" customHeight="true" outlineLevel="0" collapsed="false">
      <c r="A10" s="42" t="n">
        <v>8</v>
      </c>
      <c r="B10" s="92" t="n">
        <v>4000</v>
      </c>
      <c r="C10" s="93" t="s">
        <v>999</v>
      </c>
      <c r="D10" s="93" t="s">
        <v>1000</v>
      </c>
      <c r="E10" s="94" t="s">
        <v>1006</v>
      </c>
      <c r="F10" s="39" t="s">
        <v>1007</v>
      </c>
      <c r="G10" s="40" t="n">
        <v>6141763</v>
      </c>
      <c r="H10" s="95" t="s">
        <v>603</v>
      </c>
      <c r="I10" s="39" t="s">
        <v>117</v>
      </c>
      <c r="J10" s="39" t="s">
        <v>374</v>
      </c>
      <c r="K10" s="39" t="s">
        <v>521</v>
      </c>
      <c r="L10" s="96" t="n">
        <v>1</v>
      </c>
      <c r="M10" s="96" t="n">
        <v>1</v>
      </c>
      <c r="N10" s="96" t="n">
        <v>1</v>
      </c>
      <c r="O10" s="96" t="n">
        <v>1</v>
      </c>
      <c r="P10" s="117" t="n">
        <v>1</v>
      </c>
      <c r="Q10" s="118" t="s">
        <v>1008</v>
      </c>
      <c r="R10" s="39" t="s">
        <v>996</v>
      </c>
      <c r="S10" s="98" t="n">
        <v>44927</v>
      </c>
      <c r="T10" s="98" t="n">
        <f aca="false">S10+366*3</f>
        <v>46025</v>
      </c>
      <c r="U10" s="42" t="s">
        <v>1009</v>
      </c>
      <c r="V10" s="98" t="n">
        <v>45689</v>
      </c>
      <c r="W10" s="99" t="n">
        <f aca="false">SUM(V10+186)</f>
        <v>45875</v>
      </c>
      <c r="X10" s="100" t="n">
        <v>1</v>
      </c>
      <c r="Y10" s="40" t="n">
        <v>6141763</v>
      </c>
      <c r="Z10" s="101" t="s">
        <v>19</v>
      </c>
      <c r="AA10" s="116" t="s">
        <v>998</v>
      </c>
      <c r="AB10" s="102" t="s">
        <v>977</v>
      </c>
      <c r="AC10" s="103" t="s">
        <v>978</v>
      </c>
    </row>
    <row r="11" customFormat="false" ht="15" hidden="false" customHeight="true" outlineLevel="0" collapsed="false">
      <c r="A11" s="50" t="n">
        <v>10</v>
      </c>
      <c r="B11" s="50" t="n">
        <v>4000</v>
      </c>
      <c r="C11" s="104" t="s">
        <v>999</v>
      </c>
      <c r="D11" s="104" t="s">
        <v>1000</v>
      </c>
      <c r="E11" s="48" t="s">
        <v>693</v>
      </c>
      <c r="F11" s="45" t="s">
        <v>1010</v>
      </c>
      <c r="G11" s="46" t="n">
        <v>6141775</v>
      </c>
      <c r="H11" s="45" t="s">
        <v>603</v>
      </c>
      <c r="I11" s="45" t="s">
        <v>117</v>
      </c>
      <c r="J11" s="45" t="s">
        <v>374</v>
      </c>
      <c r="K11" s="45" t="s">
        <v>521</v>
      </c>
      <c r="L11" s="105" t="n">
        <v>1</v>
      </c>
      <c r="M11" s="105" t="n">
        <v>1</v>
      </c>
      <c r="N11" s="105" t="n">
        <v>1</v>
      </c>
      <c r="O11" s="105" t="n">
        <v>1</v>
      </c>
      <c r="P11" s="119" t="n">
        <v>1</v>
      </c>
      <c r="Q11" s="107" t="n">
        <v>1</v>
      </c>
      <c r="R11" s="45" t="s">
        <v>996</v>
      </c>
      <c r="S11" s="108" t="n">
        <v>44927</v>
      </c>
      <c r="T11" s="108" t="n">
        <f aca="false">S11+366*3</f>
        <v>46025</v>
      </c>
      <c r="U11" s="50" t="s">
        <v>1011</v>
      </c>
      <c r="V11" s="108" t="n">
        <v>45689</v>
      </c>
      <c r="W11" s="109" t="n">
        <f aca="false">SUM(V11+186)</f>
        <v>45875</v>
      </c>
      <c r="X11" s="110" t="n">
        <v>1</v>
      </c>
      <c r="Y11" s="46" t="s">
        <v>1012</v>
      </c>
      <c r="Z11" s="111" t="s">
        <v>19</v>
      </c>
      <c r="AA11" s="120" t="s">
        <v>998</v>
      </c>
      <c r="AB11" s="112" t="s">
        <v>977</v>
      </c>
      <c r="AC11" s="113" t="s">
        <v>978</v>
      </c>
    </row>
    <row r="12" customFormat="false" ht="15" hidden="false" customHeight="true" outlineLevel="0" collapsed="false">
      <c r="A12" s="42" t="s">
        <v>1013</v>
      </c>
      <c r="B12" s="92" t="n">
        <v>4000</v>
      </c>
      <c r="C12" s="93" t="s">
        <v>999</v>
      </c>
      <c r="D12" s="93" t="s">
        <v>1000</v>
      </c>
      <c r="E12" s="94" t="s">
        <v>1014</v>
      </c>
      <c r="F12" s="39" t="s">
        <v>1015</v>
      </c>
      <c r="G12" s="42" t="s">
        <v>987</v>
      </c>
      <c r="H12" s="95" t="s">
        <v>766</v>
      </c>
      <c r="I12" s="39" t="s">
        <v>266</v>
      </c>
      <c r="J12" s="39" t="s">
        <v>464</v>
      </c>
      <c r="K12" s="39" t="s">
        <v>588</v>
      </c>
      <c r="L12" s="121" t="n">
        <v>1</v>
      </c>
      <c r="M12" s="96" t="n">
        <v>1</v>
      </c>
      <c r="N12" s="96" t="n">
        <v>1</v>
      </c>
      <c r="O12" s="96" t="n">
        <v>1</v>
      </c>
      <c r="P12" s="117" t="n">
        <v>1</v>
      </c>
      <c r="Q12" s="118" t="s">
        <v>1008</v>
      </c>
      <c r="R12" s="39" t="s">
        <v>1015</v>
      </c>
      <c r="S12" s="98" t="n">
        <v>44927</v>
      </c>
      <c r="T12" s="98" t="n">
        <f aca="false">S12+366*3</f>
        <v>46025</v>
      </c>
      <c r="U12" s="42" t="s">
        <v>1016</v>
      </c>
      <c r="V12" s="98" t="n">
        <v>45689</v>
      </c>
      <c r="W12" s="99" t="n">
        <f aca="false">SUM(V12+186)</f>
        <v>45875</v>
      </c>
      <c r="X12" s="100" t="n">
        <v>1</v>
      </c>
      <c r="Y12" s="40" t="n">
        <v>6141789</v>
      </c>
      <c r="Z12" s="101" t="s">
        <v>19</v>
      </c>
      <c r="AA12" s="122" t="s">
        <v>1017</v>
      </c>
      <c r="AB12" s="102" t="s">
        <v>977</v>
      </c>
      <c r="AC12" s="103" t="s">
        <v>978</v>
      </c>
    </row>
    <row r="13" customFormat="false" ht="15" hidden="false" customHeight="true" outlineLevel="0" collapsed="false">
      <c r="A13" s="50"/>
      <c r="B13" s="50" t="n">
        <v>4000</v>
      </c>
      <c r="C13" s="104" t="s">
        <v>999</v>
      </c>
      <c r="D13" s="104" t="s">
        <v>1000</v>
      </c>
      <c r="E13" s="48" t="s">
        <v>853</v>
      </c>
      <c r="F13" s="45" t="s">
        <v>1018</v>
      </c>
      <c r="G13" s="46" t="n">
        <v>6141789</v>
      </c>
      <c r="H13" s="45" t="s">
        <v>766</v>
      </c>
      <c r="I13" s="45" t="s">
        <v>266</v>
      </c>
      <c r="J13" s="45" t="s">
        <v>464</v>
      </c>
      <c r="K13" s="45" t="s">
        <v>588</v>
      </c>
      <c r="L13" s="105" t="n">
        <v>1</v>
      </c>
      <c r="M13" s="105" t="n">
        <v>1</v>
      </c>
      <c r="N13" s="105" t="n">
        <v>1</v>
      </c>
      <c r="O13" s="105" t="n">
        <v>1</v>
      </c>
      <c r="P13" s="119" t="n">
        <v>1</v>
      </c>
      <c r="Q13" s="107" t="n">
        <v>1</v>
      </c>
      <c r="R13" s="45" t="s">
        <v>1015</v>
      </c>
      <c r="S13" s="108" t="n">
        <v>44927</v>
      </c>
      <c r="T13" s="108" t="n">
        <f aca="false">S13+366*3</f>
        <v>46025</v>
      </c>
      <c r="U13" s="50" t="s">
        <v>1019</v>
      </c>
      <c r="V13" s="108" t="n">
        <v>45689</v>
      </c>
      <c r="W13" s="109" t="n">
        <f aca="false">SUM(V13+186)</f>
        <v>45875</v>
      </c>
      <c r="X13" s="110" t="n">
        <v>1</v>
      </c>
      <c r="Y13" s="46" t="n">
        <v>6141789</v>
      </c>
      <c r="Z13" s="111" t="s">
        <v>19</v>
      </c>
      <c r="AA13" s="122"/>
      <c r="AB13" s="112" t="s">
        <v>977</v>
      </c>
      <c r="AC13" s="113" t="s">
        <v>978</v>
      </c>
    </row>
    <row r="14" customFormat="false" ht="15" hidden="false" customHeight="true" outlineLevel="0" collapsed="false">
      <c r="A14" s="42" t="n">
        <v>6</v>
      </c>
      <c r="B14" s="92" t="n">
        <v>5001</v>
      </c>
      <c r="C14" s="93" t="s">
        <v>1020</v>
      </c>
      <c r="D14" s="93" t="s">
        <v>1021</v>
      </c>
      <c r="E14" s="94" t="s">
        <v>125</v>
      </c>
      <c r="F14" s="39" t="s">
        <v>1022</v>
      </c>
      <c r="G14" s="42" t="n">
        <v>6140258</v>
      </c>
      <c r="H14" s="95" t="s">
        <v>608</v>
      </c>
      <c r="I14" s="39" t="s">
        <v>124</v>
      </c>
      <c r="J14" s="39" t="s">
        <v>376</v>
      </c>
      <c r="K14" s="39" t="s">
        <v>523</v>
      </c>
      <c r="L14" s="96" t="n">
        <v>1</v>
      </c>
      <c r="M14" s="96" t="n">
        <v>1</v>
      </c>
      <c r="N14" s="96" t="n">
        <v>1</v>
      </c>
      <c r="O14" s="96" t="n">
        <v>1</v>
      </c>
      <c r="P14" s="97" t="n">
        <f aca="false" t="array" ref="P14:P14">SUM(L14:O14/4)</f>
        <v>1</v>
      </c>
      <c r="Q14" s="97" t="n">
        <v>1</v>
      </c>
      <c r="R14" s="39" t="s">
        <v>1023</v>
      </c>
      <c r="S14" s="98" t="n">
        <v>45474</v>
      </c>
      <c r="T14" s="98" t="n">
        <f aca="false">S14+366*3</f>
        <v>46572</v>
      </c>
      <c r="U14" s="42" t="s">
        <v>1024</v>
      </c>
      <c r="V14" s="98" t="n">
        <v>45689</v>
      </c>
      <c r="W14" s="99" t="n">
        <f aca="false">SUM(V14+186)</f>
        <v>45875</v>
      </c>
      <c r="X14" s="123" t="n">
        <v>0</v>
      </c>
      <c r="Y14" s="40" t="s">
        <v>1025</v>
      </c>
      <c r="Z14" s="101" t="s">
        <v>19</v>
      </c>
      <c r="AA14" s="101" t="s">
        <v>1026</v>
      </c>
      <c r="AB14" s="102" t="s">
        <v>977</v>
      </c>
      <c r="AC14" s="103" t="s">
        <v>978</v>
      </c>
    </row>
    <row r="15" customFormat="false" ht="15" hidden="false" customHeight="true" outlineLevel="0" collapsed="false">
      <c r="A15" s="50" t="s">
        <v>1013</v>
      </c>
      <c r="B15" s="50" t="n">
        <v>5001</v>
      </c>
      <c r="C15" s="104" t="s">
        <v>1020</v>
      </c>
      <c r="D15" s="104" t="s">
        <v>1021</v>
      </c>
      <c r="E15" s="48" t="s">
        <v>896</v>
      </c>
      <c r="F15" s="45" t="s">
        <v>1027</v>
      </c>
      <c r="G15" s="50" t="s">
        <v>987</v>
      </c>
      <c r="H15" s="45" t="s">
        <v>760</v>
      </c>
      <c r="I15" s="45" t="s">
        <v>281</v>
      </c>
      <c r="J15" s="45" t="s">
        <v>455</v>
      </c>
      <c r="K15" s="45" t="s">
        <v>582</v>
      </c>
      <c r="L15" s="105" t="n">
        <v>1</v>
      </c>
      <c r="M15" s="105" t="n">
        <v>1</v>
      </c>
      <c r="N15" s="105" t="n">
        <v>1</v>
      </c>
      <c r="O15" s="105" t="n">
        <v>1</v>
      </c>
      <c r="P15" s="106" t="n">
        <f aca="false" t="array" ref="P15:P15">SUM(L15:O15/4)</f>
        <v>1</v>
      </c>
      <c r="Q15" s="124" t="s">
        <v>1008</v>
      </c>
      <c r="R15" s="45" t="s">
        <v>1028</v>
      </c>
      <c r="S15" s="108" t="n">
        <v>45047</v>
      </c>
      <c r="T15" s="108" t="n">
        <f aca="false">S15+366*3</f>
        <v>46145</v>
      </c>
      <c r="U15" s="50" t="s">
        <v>1029</v>
      </c>
      <c r="V15" s="108" t="n">
        <v>45689</v>
      </c>
      <c r="W15" s="109" t="n">
        <f aca="false">SUM(V15+186)</f>
        <v>45875</v>
      </c>
      <c r="X15" s="110" t="n">
        <v>1</v>
      </c>
      <c r="Y15" s="46" t="s">
        <v>1030</v>
      </c>
      <c r="Z15" s="111" t="s">
        <v>19</v>
      </c>
      <c r="AA15" s="125" t="s">
        <v>1031</v>
      </c>
      <c r="AB15" s="112" t="s">
        <v>977</v>
      </c>
      <c r="AC15" s="113" t="s">
        <v>978</v>
      </c>
    </row>
    <row r="16" customFormat="false" ht="15" hidden="false" customHeight="true" outlineLevel="0" collapsed="false">
      <c r="A16" s="42" t="s">
        <v>1013</v>
      </c>
      <c r="B16" s="92" t="n">
        <v>5001</v>
      </c>
      <c r="C16" s="93" t="s">
        <v>1020</v>
      </c>
      <c r="D16" s="93" t="s">
        <v>1021</v>
      </c>
      <c r="E16" s="126" t="s">
        <v>1032</v>
      </c>
      <c r="F16" s="39" t="s">
        <v>1033</v>
      </c>
      <c r="G16" s="42" t="s">
        <v>987</v>
      </c>
      <c r="H16" s="95" t="s">
        <v>760</v>
      </c>
      <c r="I16" s="39" t="s">
        <v>281</v>
      </c>
      <c r="J16" s="39" t="s">
        <v>455</v>
      </c>
      <c r="K16" s="39" t="s">
        <v>582</v>
      </c>
      <c r="L16" s="96" t="n">
        <v>1</v>
      </c>
      <c r="M16" s="96" t="n">
        <v>1</v>
      </c>
      <c r="N16" s="96" t="n">
        <v>1</v>
      </c>
      <c r="O16" s="96" t="n">
        <v>1</v>
      </c>
      <c r="P16" s="97" t="n">
        <v>1</v>
      </c>
      <c r="Q16" s="118" t="s">
        <v>1008</v>
      </c>
      <c r="R16" s="39" t="s">
        <v>1028</v>
      </c>
      <c r="S16" s="98" t="n">
        <v>45047</v>
      </c>
      <c r="T16" s="98" t="n">
        <f aca="false">S16+366*3</f>
        <v>46145</v>
      </c>
      <c r="U16" s="42" t="s">
        <v>1034</v>
      </c>
      <c r="V16" s="98" t="n">
        <v>45689</v>
      </c>
      <c r="W16" s="99" t="n">
        <f aca="false">SUM(V16+186)</f>
        <v>45875</v>
      </c>
      <c r="X16" s="100" t="n">
        <v>1</v>
      </c>
      <c r="Y16" s="40" t="s">
        <v>1030</v>
      </c>
      <c r="Z16" s="101" t="s">
        <v>19</v>
      </c>
      <c r="AA16" s="125"/>
      <c r="AB16" s="102" t="s">
        <v>977</v>
      </c>
      <c r="AC16" s="103" t="s">
        <v>978</v>
      </c>
    </row>
    <row r="17" customFormat="false" ht="15" hidden="false" customHeight="true" outlineLevel="0" collapsed="false">
      <c r="A17" s="50" t="n">
        <v>7</v>
      </c>
      <c r="B17" s="50" t="n">
        <v>6006</v>
      </c>
      <c r="C17" s="104" t="s">
        <v>1035</v>
      </c>
      <c r="D17" s="104" t="s">
        <v>1036</v>
      </c>
      <c r="E17" s="48" t="s">
        <v>261</v>
      </c>
      <c r="F17" s="45" t="s">
        <v>1037</v>
      </c>
      <c r="G17" s="46" t="n">
        <v>6140297</v>
      </c>
      <c r="H17" s="45" t="s">
        <v>609</v>
      </c>
      <c r="I17" s="45" t="s">
        <v>260</v>
      </c>
      <c r="J17" s="45" t="s">
        <v>450</v>
      </c>
      <c r="K17" s="45" t="s">
        <v>581</v>
      </c>
      <c r="L17" s="105" t="n">
        <v>1</v>
      </c>
      <c r="M17" s="105" t="n">
        <v>1</v>
      </c>
      <c r="N17" s="105" t="n">
        <v>1</v>
      </c>
      <c r="O17" s="105" t="n">
        <v>1</v>
      </c>
      <c r="P17" s="106" t="n">
        <f aca="false" t="array" ref="P17:P17">SUM(L17:O17/4)</f>
        <v>1</v>
      </c>
      <c r="Q17" s="106" t="n">
        <v>1</v>
      </c>
      <c r="R17" s="45" t="s">
        <v>1038</v>
      </c>
      <c r="S17" s="108" t="n">
        <v>44836</v>
      </c>
      <c r="T17" s="109" t="n">
        <f aca="false">S17+366*3</f>
        <v>45934</v>
      </c>
      <c r="U17" s="50" t="s">
        <v>1039</v>
      </c>
      <c r="V17" s="108" t="n">
        <v>45689</v>
      </c>
      <c r="W17" s="109" t="n">
        <f aca="false">SUM(V17+186)</f>
        <v>45875</v>
      </c>
      <c r="X17" s="127" t="n">
        <v>0</v>
      </c>
      <c r="Y17" s="46" t="s">
        <v>1040</v>
      </c>
      <c r="Z17" s="111" t="s">
        <v>19</v>
      </c>
      <c r="AA17" s="125" t="s">
        <v>1005</v>
      </c>
      <c r="AB17" s="112" t="s">
        <v>977</v>
      </c>
      <c r="AC17" s="113" t="s">
        <v>978</v>
      </c>
    </row>
    <row r="18" customFormat="false" ht="15" hidden="false" customHeight="true" outlineLevel="0" collapsed="false">
      <c r="A18" s="42" t="n">
        <v>52</v>
      </c>
      <c r="B18" s="92" t="n">
        <v>6006</v>
      </c>
      <c r="C18" s="93" t="s">
        <v>1035</v>
      </c>
      <c r="D18" s="93" t="s">
        <v>1036</v>
      </c>
      <c r="E18" s="94" t="s">
        <v>1041</v>
      </c>
      <c r="F18" s="39" t="s">
        <v>1037</v>
      </c>
      <c r="G18" s="40" t="n">
        <v>6140297</v>
      </c>
      <c r="H18" s="95" t="s">
        <v>609</v>
      </c>
      <c r="I18" s="39" t="s">
        <v>260</v>
      </c>
      <c r="J18" s="39" t="s">
        <v>450</v>
      </c>
      <c r="K18" s="39" t="s">
        <v>581</v>
      </c>
      <c r="L18" s="96" t="n">
        <v>1</v>
      </c>
      <c r="M18" s="96" t="n">
        <v>1</v>
      </c>
      <c r="N18" s="96" t="n">
        <v>1</v>
      </c>
      <c r="O18" s="96" t="n">
        <v>1</v>
      </c>
      <c r="P18" s="97" t="n">
        <f aca="false" t="array" ref="P18:P18">SUM(L18:O18/4)</f>
        <v>1</v>
      </c>
      <c r="Q18" s="118" t="s">
        <v>1008</v>
      </c>
      <c r="R18" s="39" t="s">
        <v>1038</v>
      </c>
      <c r="S18" s="98" t="n">
        <v>44986</v>
      </c>
      <c r="T18" s="98" t="n">
        <f aca="false">S18+366*3</f>
        <v>46084</v>
      </c>
      <c r="U18" s="42" t="s">
        <v>1042</v>
      </c>
      <c r="V18" s="98" t="n">
        <v>45689</v>
      </c>
      <c r="W18" s="99" t="n">
        <f aca="false">SUM(V18+186)</f>
        <v>45875</v>
      </c>
      <c r="X18" s="100" t="n">
        <v>1</v>
      </c>
      <c r="Y18" s="40" t="s">
        <v>1040</v>
      </c>
      <c r="Z18" s="101" t="s">
        <v>19</v>
      </c>
      <c r="AA18" s="125"/>
      <c r="AB18" s="102" t="s">
        <v>977</v>
      </c>
      <c r="AC18" s="103" t="s">
        <v>978</v>
      </c>
    </row>
    <row r="19" customFormat="false" ht="15" hidden="false" customHeight="true" outlineLevel="0" collapsed="false">
      <c r="A19" s="42"/>
      <c r="B19" s="50" t="n">
        <v>6006</v>
      </c>
      <c r="C19" s="104" t="s">
        <v>1035</v>
      </c>
      <c r="D19" s="104" t="s">
        <v>1036</v>
      </c>
      <c r="E19" s="48" t="s">
        <v>1043</v>
      </c>
      <c r="F19" s="45" t="s">
        <v>1044</v>
      </c>
      <c r="G19" s="46" t="n">
        <v>6140297</v>
      </c>
      <c r="H19" s="45" t="s">
        <v>609</v>
      </c>
      <c r="I19" s="45" t="s">
        <v>260</v>
      </c>
      <c r="J19" s="45" t="s">
        <v>450</v>
      </c>
      <c r="K19" s="45" t="s">
        <v>581</v>
      </c>
      <c r="L19" s="105" t="n">
        <v>1</v>
      </c>
      <c r="M19" s="105" t="n">
        <v>1</v>
      </c>
      <c r="N19" s="105" t="n">
        <v>1</v>
      </c>
      <c r="O19" s="105" t="n">
        <v>1</v>
      </c>
      <c r="P19" s="106" t="n">
        <f aca="false" t="array" ref="P19:P19">SUM(L19:O19/4)</f>
        <v>1</v>
      </c>
      <c r="Q19" s="124" t="s">
        <v>1008</v>
      </c>
      <c r="R19" s="45" t="s">
        <v>1038</v>
      </c>
      <c r="S19" s="108" t="n">
        <v>44986</v>
      </c>
      <c r="T19" s="108" t="n">
        <f aca="false">S19+366*3</f>
        <v>46084</v>
      </c>
      <c r="U19" s="50" t="s">
        <v>1045</v>
      </c>
      <c r="V19" s="108" t="n">
        <v>45689</v>
      </c>
      <c r="W19" s="109" t="n">
        <f aca="false">SUM(V19+186)</f>
        <v>45875</v>
      </c>
      <c r="X19" s="110" t="n">
        <v>1</v>
      </c>
      <c r="Y19" s="46" t="s">
        <v>1040</v>
      </c>
      <c r="Z19" s="111" t="s">
        <v>19</v>
      </c>
      <c r="AA19" s="125"/>
      <c r="AB19" s="112" t="s">
        <v>977</v>
      </c>
      <c r="AC19" s="113" t="s">
        <v>978</v>
      </c>
    </row>
    <row r="20" customFormat="false" ht="15" hidden="false" customHeight="true" outlineLevel="0" collapsed="false">
      <c r="A20" s="42" t="s">
        <v>1013</v>
      </c>
      <c r="B20" s="128" t="n">
        <v>7001</v>
      </c>
      <c r="C20" s="93" t="s">
        <v>1046</v>
      </c>
      <c r="D20" s="93" t="s">
        <v>1047</v>
      </c>
      <c r="E20" s="94" t="s">
        <v>1048</v>
      </c>
      <c r="F20" s="39" t="s">
        <v>1049</v>
      </c>
      <c r="G20" s="40" t="n">
        <v>6140561</v>
      </c>
      <c r="H20" s="95" t="s">
        <v>633</v>
      </c>
      <c r="I20" s="39" t="s">
        <v>93</v>
      </c>
      <c r="J20" s="39" t="s">
        <v>360</v>
      </c>
      <c r="K20" s="39" t="s">
        <v>506</v>
      </c>
      <c r="L20" s="96" t="n">
        <v>1</v>
      </c>
      <c r="M20" s="96" t="n">
        <v>1</v>
      </c>
      <c r="N20" s="96" t="n">
        <v>1</v>
      </c>
      <c r="O20" s="96" t="n">
        <v>1</v>
      </c>
      <c r="P20" s="97" t="n">
        <f aca="false" t="array" ref="P20:P20">SUM(L20:O20/4)</f>
        <v>1</v>
      </c>
      <c r="Q20" s="118" t="s">
        <v>1008</v>
      </c>
      <c r="R20" s="39" t="s">
        <v>1050</v>
      </c>
      <c r="S20" s="98" t="n">
        <v>45078</v>
      </c>
      <c r="T20" s="98" t="n">
        <f aca="false">S20+366*3</f>
        <v>46176</v>
      </c>
      <c r="U20" s="42" t="s">
        <v>1051</v>
      </c>
      <c r="V20" s="98" t="n">
        <v>45689</v>
      </c>
      <c r="W20" s="99" t="n">
        <f aca="false">SUM(V20+186)</f>
        <v>45875</v>
      </c>
      <c r="X20" s="100" t="n">
        <v>1</v>
      </c>
      <c r="Y20" s="40" t="n">
        <v>6140561</v>
      </c>
      <c r="Z20" s="101" t="s">
        <v>19</v>
      </c>
      <c r="AA20" s="101" t="s">
        <v>1052</v>
      </c>
      <c r="AB20" s="102" t="s">
        <v>977</v>
      </c>
      <c r="AC20" s="103" t="s">
        <v>978</v>
      </c>
    </row>
    <row r="21" customFormat="false" ht="15" hidden="false" customHeight="true" outlineLevel="0" collapsed="false">
      <c r="A21" s="50" t="s">
        <v>1013</v>
      </c>
      <c r="B21" s="129" t="n">
        <v>7001</v>
      </c>
      <c r="C21" s="104" t="s">
        <v>1046</v>
      </c>
      <c r="D21" s="104" t="s">
        <v>1047</v>
      </c>
      <c r="E21" s="48" t="s">
        <v>1053</v>
      </c>
      <c r="F21" s="45" t="s">
        <v>1049</v>
      </c>
      <c r="G21" s="46" t="n">
        <v>6140561</v>
      </c>
      <c r="H21" s="45" t="s">
        <v>633</v>
      </c>
      <c r="I21" s="45" t="s">
        <v>93</v>
      </c>
      <c r="J21" s="45" t="s">
        <v>360</v>
      </c>
      <c r="K21" s="45" t="s">
        <v>506</v>
      </c>
      <c r="L21" s="105" t="n">
        <v>1</v>
      </c>
      <c r="M21" s="105" t="n">
        <v>1</v>
      </c>
      <c r="N21" s="105" t="n">
        <v>1</v>
      </c>
      <c r="O21" s="105" t="n">
        <v>1</v>
      </c>
      <c r="P21" s="106" t="n">
        <f aca="false" t="array" ref="P21:P21">SUM(L21:O21/4)</f>
        <v>1</v>
      </c>
      <c r="Q21" s="124" t="s">
        <v>1008</v>
      </c>
      <c r="R21" s="45" t="s">
        <v>1050</v>
      </c>
      <c r="S21" s="108" t="n">
        <v>45078</v>
      </c>
      <c r="T21" s="108" t="n">
        <f aca="false">S21+366*3</f>
        <v>46176</v>
      </c>
      <c r="U21" s="50" t="s">
        <v>1054</v>
      </c>
      <c r="V21" s="108" t="n">
        <v>45689</v>
      </c>
      <c r="W21" s="109" t="n">
        <f aca="false">SUM(V21+186)</f>
        <v>45875</v>
      </c>
      <c r="X21" s="110" t="n">
        <v>1</v>
      </c>
      <c r="Y21" s="46" t="n">
        <v>6140561</v>
      </c>
      <c r="Z21" s="111" t="s">
        <v>19</v>
      </c>
      <c r="AA21" s="30" t="s">
        <v>1052</v>
      </c>
      <c r="AB21" s="112" t="s">
        <v>977</v>
      </c>
      <c r="AC21" s="113" t="s">
        <v>978</v>
      </c>
    </row>
    <row r="22" customFormat="false" ht="15" hidden="false" customHeight="true" outlineLevel="0" collapsed="false">
      <c r="A22" s="42" t="s">
        <v>1013</v>
      </c>
      <c r="B22" s="128" t="n">
        <v>7001</v>
      </c>
      <c r="C22" s="93" t="s">
        <v>1046</v>
      </c>
      <c r="D22" s="93" t="s">
        <v>1047</v>
      </c>
      <c r="E22" s="94" t="s">
        <v>1055</v>
      </c>
      <c r="F22" s="39" t="s">
        <v>1049</v>
      </c>
      <c r="G22" s="40" t="n">
        <v>6140561</v>
      </c>
      <c r="H22" s="95" t="s">
        <v>633</v>
      </c>
      <c r="I22" s="39" t="s">
        <v>93</v>
      </c>
      <c r="J22" s="39" t="s">
        <v>360</v>
      </c>
      <c r="K22" s="39" t="s">
        <v>506</v>
      </c>
      <c r="L22" s="96" t="n">
        <v>1</v>
      </c>
      <c r="M22" s="96" t="n">
        <v>1</v>
      </c>
      <c r="N22" s="96" t="n">
        <v>1</v>
      </c>
      <c r="O22" s="96" t="n">
        <v>1</v>
      </c>
      <c r="P22" s="97" t="n">
        <f aca="false" t="array" ref="P22:P22">SUM(L22:O22/4)</f>
        <v>1</v>
      </c>
      <c r="Q22" s="118" t="s">
        <v>1008</v>
      </c>
      <c r="R22" s="39" t="s">
        <v>1050</v>
      </c>
      <c r="S22" s="98" t="n">
        <v>45078</v>
      </c>
      <c r="T22" s="98" t="n">
        <f aca="false">S22+366*3</f>
        <v>46176</v>
      </c>
      <c r="U22" s="42" t="s">
        <v>1056</v>
      </c>
      <c r="V22" s="98" t="n">
        <v>45689</v>
      </c>
      <c r="W22" s="99" t="n">
        <f aca="false">SUM(V22+186)</f>
        <v>45875</v>
      </c>
      <c r="X22" s="100" t="n">
        <v>1</v>
      </c>
      <c r="Y22" s="40" t="n">
        <v>6140561</v>
      </c>
      <c r="Z22" s="101" t="s">
        <v>19</v>
      </c>
      <c r="AA22" s="101" t="s">
        <v>1052</v>
      </c>
      <c r="AB22" s="102" t="s">
        <v>977</v>
      </c>
      <c r="AC22" s="103" t="s">
        <v>978</v>
      </c>
    </row>
    <row r="23" customFormat="false" ht="15" hidden="false" customHeight="true" outlineLevel="0" collapsed="false">
      <c r="A23" s="50" t="s">
        <v>1013</v>
      </c>
      <c r="B23" s="129" t="n">
        <v>7001</v>
      </c>
      <c r="C23" s="104" t="s">
        <v>1046</v>
      </c>
      <c r="D23" s="104" t="s">
        <v>1047</v>
      </c>
      <c r="E23" s="48" t="s">
        <v>1057</v>
      </c>
      <c r="F23" s="45" t="s">
        <v>1049</v>
      </c>
      <c r="G23" s="46" t="n">
        <v>6140561</v>
      </c>
      <c r="H23" s="45" t="s">
        <v>633</v>
      </c>
      <c r="I23" s="45" t="s">
        <v>93</v>
      </c>
      <c r="J23" s="45" t="s">
        <v>360</v>
      </c>
      <c r="K23" s="45" t="s">
        <v>506</v>
      </c>
      <c r="L23" s="105" t="n">
        <v>1</v>
      </c>
      <c r="M23" s="105" t="n">
        <v>1</v>
      </c>
      <c r="N23" s="105" t="n">
        <v>1</v>
      </c>
      <c r="O23" s="105" t="n">
        <v>1</v>
      </c>
      <c r="P23" s="106" t="n">
        <f aca="false" t="array" ref="P23:P23">SUM(L23:O23/4)</f>
        <v>1</v>
      </c>
      <c r="Q23" s="124" t="s">
        <v>1008</v>
      </c>
      <c r="R23" s="45" t="s">
        <v>1050</v>
      </c>
      <c r="S23" s="108" t="n">
        <v>45078</v>
      </c>
      <c r="T23" s="108" t="n">
        <f aca="false">S23+366*3</f>
        <v>46176</v>
      </c>
      <c r="U23" s="50" t="s">
        <v>1058</v>
      </c>
      <c r="V23" s="108" t="n">
        <v>45689</v>
      </c>
      <c r="W23" s="109" t="n">
        <f aca="false">SUM(V23+186)</f>
        <v>45875</v>
      </c>
      <c r="X23" s="110" t="n">
        <v>1</v>
      </c>
      <c r="Y23" s="50" t="s">
        <v>1059</v>
      </c>
      <c r="Z23" s="111" t="s">
        <v>19</v>
      </c>
      <c r="AA23" s="30" t="s">
        <v>1052</v>
      </c>
      <c r="AB23" s="112" t="s">
        <v>977</v>
      </c>
      <c r="AC23" s="113" t="s">
        <v>978</v>
      </c>
    </row>
    <row r="24" customFormat="false" ht="15" hidden="false" customHeight="true" outlineLevel="0" collapsed="false">
      <c r="A24" s="42" t="n">
        <v>9</v>
      </c>
      <c r="B24" s="128" t="n">
        <v>7001</v>
      </c>
      <c r="C24" s="93" t="s">
        <v>1046</v>
      </c>
      <c r="D24" s="93" t="s">
        <v>1047</v>
      </c>
      <c r="E24" s="94" t="s">
        <v>934</v>
      </c>
      <c r="F24" s="39" t="s">
        <v>1060</v>
      </c>
      <c r="G24" s="42" t="s">
        <v>987</v>
      </c>
      <c r="H24" s="95" t="s">
        <v>756</v>
      </c>
      <c r="I24" s="39" t="s">
        <v>275</v>
      </c>
      <c r="J24" s="39" t="s">
        <v>443</v>
      </c>
      <c r="K24" s="39" t="s">
        <v>577</v>
      </c>
      <c r="L24" s="96" t="n">
        <v>1</v>
      </c>
      <c r="M24" s="96" t="n">
        <v>1</v>
      </c>
      <c r="N24" s="96" t="n">
        <v>1</v>
      </c>
      <c r="O24" s="96" t="n">
        <v>1</v>
      </c>
      <c r="P24" s="97" t="n">
        <v>1</v>
      </c>
      <c r="Q24" s="118" t="s">
        <v>1008</v>
      </c>
      <c r="R24" s="39" t="s">
        <v>1060</v>
      </c>
      <c r="S24" s="98" t="n">
        <v>45078</v>
      </c>
      <c r="T24" s="98" t="n">
        <f aca="false">S24+366*3</f>
        <v>46176</v>
      </c>
      <c r="U24" s="42" t="s">
        <v>1061</v>
      </c>
      <c r="V24" s="98" t="n">
        <v>45689</v>
      </c>
      <c r="W24" s="99" t="n">
        <f aca="false">SUM(V24+186)</f>
        <v>45875</v>
      </c>
      <c r="X24" s="100" t="n">
        <v>1</v>
      </c>
      <c r="Y24" s="42" t="s">
        <v>1062</v>
      </c>
      <c r="Z24" s="101" t="s">
        <v>19</v>
      </c>
      <c r="AA24" s="101" t="s">
        <v>1063</v>
      </c>
      <c r="AB24" s="102" t="s">
        <v>977</v>
      </c>
      <c r="AC24" s="103" t="s">
        <v>978</v>
      </c>
    </row>
    <row r="25" customFormat="false" ht="15" hidden="false" customHeight="true" outlineLevel="0" collapsed="false">
      <c r="A25" s="50" t="n">
        <v>9</v>
      </c>
      <c r="B25" s="129" t="n">
        <v>7001</v>
      </c>
      <c r="C25" s="104" t="s">
        <v>1046</v>
      </c>
      <c r="D25" s="104" t="s">
        <v>1047</v>
      </c>
      <c r="E25" s="48" t="s">
        <v>825</v>
      </c>
      <c r="F25" s="45" t="s">
        <v>1064</v>
      </c>
      <c r="G25" s="46" t="n">
        <v>6140728</v>
      </c>
      <c r="H25" s="45" t="s">
        <v>633</v>
      </c>
      <c r="I25" s="45" t="s">
        <v>93</v>
      </c>
      <c r="J25" s="45" t="s">
        <v>360</v>
      </c>
      <c r="K25" s="45" t="s">
        <v>506</v>
      </c>
      <c r="L25" s="105" t="n">
        <v>1</v>
      </c>
      <c r="M25" s="105" t="n">
        <v>1</v>
      </c>
      <c r="N25" s="105" t="n">
        <v>1</v>
      </c>
      <c r="O25" s="105" t="n">
        <v>1</v>
      </c>
      <c r="P25" s="106" t="n">
        <f aca="false" t="array" ref="P25:P25">SUM(L25:O25/4)</f>
        <v>1</v>
      </c>
      <c r="Q25" s="124" t="s">
        <v>1008</v>
      </c>
      <c r="R25" s="45" t="s">
        <v>1050</v>
      </c>
      <c r="S25" s="108" t="n">
        <v>45078</v>
      </c>
      <c r="T25" s="108" t="n">
        <f aca="false">S25+366*3</f>
        <v>46176</v>
      </c>
      <c r="U25" s="50" t="s">
        <v>1065</v>
      </c>
      <c r="V25" s="108" t="n">
        <v>45689</v>
      </c>
      <c r="W25" s="109" t="n">
        <f aca="false">SUM(V25+186)</f>
        <v>45875</v>
      </c>
      <c r="X25" s="127" t="n">
        <v>0</v>
      </c>
      <c r="Y25" s="46" t="n">
        <v>6140728</v>
      </c>
      <c r="Z25" s="111" t="s">
        <v>19</v>
      </c>
      <c r="AA25" s="30" t="s">
        <v>1052</v>
      </c>
      <c r="AB25" s="112" t="s">
        <v>977</v>
      </c>
      <c r="AC25" s="113" t="s">
        <v>978</v>
      </c>
    </row>
    <row r="26" customFormat="false" ht="15" hidden="false" customHeight="true" outlineLevel="0" collapsed="false">
      <c r="A26" s="40" t="n">
        <v>18</v>
      </c>
      <c r="B26" s="130" t="n">
        <v>9012</v>
      </c>
      <c r="C26" s="130" t="n">
        <v>9018</v>
      </c>
      <c r="D26" s="130"/>
      <c r="E26" s="94" t="s">
        <v>1066</v>
      </c>
      <c r="F26" s="39" t="s">
        <v>1067</v>
      </c>
      <c r="G26" s="40" t="n">
        <v>6140401</v>
      </c>
      <c r="H26" s="95" t="s">
        <v>620</v>
      </c>
      <c r="I26" s="39" t="s">
        <v>300</v>
      </c>
      <c r="J26" s="28" t="s">
        <v>1008</v>
      </c>
      <c r="K26" s="28" t="s">
        <v>1008</v>
      </c>
      <c r="L26" s="96" t="n">
        <v>1</v>
      </c>
      <c r="M26" s="96" t="n">
        <v>1</v>
      </c>
      <c r="N26" s="96" t="n">
        <v>1</v>
      </c>
      <c r="O26" s="96" t="n">
        <v>1</v>
      </c>
      <c r="P26" s="97" t="n">
        <f aca="false" t="array" ref="P26:P26">SUM(L26:O26/4)</f>
        <v>1</v>
      </c>
      <c r="Q26" s="118" t="s">
        <v>1008</v>
      </c>
      <c r="R26" s="39" t="s">
        <v>1068</v>
      </c>
      <c r="S26" s="98" t="n">
        <v>45078</v>
      </c>
      <c r="T26" s="98" t="n">
        <f aca="false">S26+366*3</f>
        <v>46176</v>
      </c>
      <c r="U26" s="42" t="s">
        <v>1069</v>
      </c>
      <c r="V26" s="98" t="n">
        <v>45689</v>
      </c>
      <c r="W26" s="99" t="n">
        <f aca="false">SUM(V26+186)</f>
        <v>45875</v>
      </c>
      <c r="X26" s="100" t="n">
        <v>1</v>
      </c>
      <c r="Y26" s="40" t="s">
        <v>1070</v>
      </c>
      <c r="Z26" s="101" t="s">
        <v>19</v>
      </c>
      <c r="AA26" s="101" t="s">
        <v>1071</v>
      </c>
      <c r="AB26" s="102" t="s">
        <v>977</v>
      </c>
      <c r="AC26" s="103" t="s">
        <v>978</v>
      </c>
    </row>
    <row r="27" customFormat="false" ht="15" hidden="false" customHeight="true" outlineLevel="0" collapsed="false">
      <c r="A27" s="50" t="n">
        <v>28</v>
      </c>
      <c r="B27" s="129" t="n">
        <v>9036</v>
      </c>
      <c r="C27" s="46" t="s">
        <v>1072</v>
      </c>
      <c r="D27" s="46" t="s">
        <v>1073</v>
      </c>
      <c r="E27" s="48" t="s">
        <v>1074</v>
      </c>
      <c r="F27" s="45" t="s">
        <v>1075</v>
      </c>
      <c r="G27" s="30" t="n">
        <v>6140666</v>
      </c>
      <c r="H27" s="45" t="s">
        <v>647</v>
      </c>
      <c r="I27" s="45" t="s">
        <v>290</v>
      </c>
      <c r="J27" s="30" t="s">
        <v>1008</v>
      </c>
      <c r="K27" s="30" t="s">
        <v>1008</v>
      </c>
      <c r="L27" s="105" t="n">
        <v>1</v>
      </c>
      <c r="M27" s="105" t="n">
        <v>1</v>
      </c>
      <c r="N27" s="105" t="n">
        <v>1</v>
      </c>
      <c r="O27" s="105" t="n">
        <v>1</v>
      </c>
      <c r="P27" s="106" t="n">
        <f aca="false" t="array" ref="P27:P27">SUM(L27:O27/4)</f>
        <v>1</v>
      </c>
      <c r="Q27" s="124" t="s">
        <v>1008</v>
      </c>
      <c r="R27" s="45" t="s">
        <v>1075</v>
      </c>
      <c r="S27" s="108" t="n">
        <v>45078</v>
      </c>
      <c r="T27" s="108" t="n">
        <f aca="false">S27+366*3</f>
        <v>46176</v>
      </c>
      <c r="U27" s="50" t="s">
        <v>1076</v>
      </c>
      <c r="V27" s="108" t="n">
        <v>45689</v>
      </c>
      <c r="W27" s="109" t="n">
        <f aca="false">SUM(V27+186)</f>
        <v>45875</v>
      </c>
      <c r="X27" s="110" t="n">
        <v>1</v>
      </c>
      <c r="Y27" s="46" t="s">
        <v>1077</v>
      </c>
      <c r="Z27" s="111" t="s">
        <v>19</v>
      </c>
      <c r="AA27" s="30" t="s">
        <v>1078</v>
      </c>
      <c r="AB27" s="112" t="s">
        <v>977</v>
      </c>
      <c r="AC27" s="113" t="s">
        <v>978</v>
      </c>
    </row>
    <row r="28" customFormat="false" ht="15" hidden="false" customHeight="true" outlineLevel="0" collapsed="false">
      <c r="A28" s="42" t="n">
        <v>27</v>
      </c>
      <c r="B28" s="128" t="n">
        <v>9036</v>
      </c>
      <c r="C28" s="130" t="n">
        <v>9027</v>
      </c>
      <c r="D28" s="130" t="s">
        <v>1073</v>
      </c>
      <c r="E28" s="94" t="s">
        <v>1079</v>
      </c>
      <c r="F28" s="39" t="s">
        <v>1075</v>
      </c>
      <c r="G28" s="28" t="n">
        <v>6140666</v>
      </c>
      <c r="H28" s="95" t="s">
        <v>647</v>
      </c>
      <c r="I28" s="39" t="s">
        <v>290</v>
      </c>
      <c r="J28" s="131" t="s">
        <v>1008</v>
      </c>
      <c r="K28" s="131" t="s">
        <v>1008</v>
      </c>
      <c r="L28" s="96" t="n">
        <v>1</v>
      </c>
      <c r="M28" s="96" t="n">
        <v>1</v>
      </c>
      <c r="N28" s="96" t="n">
        <v>1</v>
      </c>
      <c r="O28" s="96" t="n">
        <v>1</v>
      </c>
      <c r="P28" s="97" t="n">
        <f aca="false" t="array" ref="P28:P28">SUM(L28:O28/4)</f>
        <v>1</v>
      </c>
      <c r="Q28" s="118" t="s">
        <v>1008</v>
      </c>
      <c r="R28" s="39" t="s">
        <v>1075</v>
      </c>
      <c r="S28" s="98" t="n">
        <v>45078</v>
      </c>
      <c r="T28" s="98" t="n">
        <f aca="false">S28+366*3</f>
        <v>46176</v>
      </c>
      <c r="U28" s="42" t="s">
        <v>1080</v>
      </c>
      <c r="V28" s="98" t="n">
        <v>45689</v>
      </c>
      <c r="W28" s="99" t="n">
        <f aca="false">SUM(V28+186)</f>
        <v>45875</v>
      </c>
      <c r="X28" s="100" t="n">
        <v>1</v>
      </c>
      <c r="Y28" s="40" t="s">
        <v>1077</v>
      </c>
      <c r="Z28" s="101" t="s">
        <v>19</v>
      </c>
      <c r="AA28" s="101" t="s">
        <v>1078</v>
      </c>
      <c r="AB28" s="102" t="s">
        <v>977</v>
      </c>
      <c r="AC28" s="103" t="s">
        <v>978</v>
      </c>
    </row>
    <row r="29" customFormat="false" ht="15" hidden="false" customHeight="true" outlineLevel="0" collapsed="false">
      <c r="A29" s="50" t="n">
        <v>24</v>
      </c>
      <c r="B29" s="129" t="n">
        <v>9036</v>
      </c>
      <c r="C29" s="46" t="n">
        <v>9027</v>
      </c>
      <c r="D29" s="46" t="s">
        <v>1073</v>
      </c>
      <c r="E29" s="48" t="s">
        <v>295</v>
      </c>
      <c r="F29" s="45" t="s">
        <v>1081</v>
      </c>
      <c r="G29" s="50" t="n">
        <v>6140317</v>
      </c>
      <c r="H29" s="45" t="s">
        <v>1082</v>
      </c>
      <c r="I29" s="45" t="s">
        <v>294</v>
      </c>
      <c r="J29" s="30" t="s">
        <v>1008</v>
      </c>
      <c r="K29" s="30" t="s">
        <v>1008</v>
      </c>
      <c r="L29" s="105" t="n">
        <v>1</v>
      </c>
      <c r="M29" s="105" t="n">
        <v>1</v>
      </c>
      <c r="N29" s="105" t="n">
        <v>1</v>
      </c>
      <c r="O29" s="105" t="n">
        <v>1</v>
      </c>
      <c r="P29" s="106" t="n">
        <f aca="false" t="array" ref="P29:P29">SUM(L29:O29/4)</f>
        <v>1</v>
      </c>
      <c r="Q29" s="124" t="s">
        <v>1008</v>
      </c>
      <c r="R29" s="45" t="s">
        <v>1081</v>
      </c>
      <c r="S29" s="108" t="n">
        <v>45566</v>
      </c>
      <c r="T29" s="108" t="n">
        <f aca="false">S29+366*3</f>
        <v>46664</v>
      </c>
      <c r="U29" s="50" t="s">
        <v>1083</v>
      </c>
      <c r="V29" s="108" t="n">
        <v>45566</v>
      </c>
      <c r="W29" s="109" t="n">
        <f aca="false">SUM(V29+186)</f>
        <v>45752</v>
      </c>
      <c r="X29" s="110" t="n">
        <v>1</v>
      </c>
      <c r="Y29" s="50" t="n">
        <v>6140317</v>
      </c>
      <c r="Z29" s="111" t="s">
        <v>19</v>
      </c>
      <c r="AA29" s="30" t="s">
        <v>1084</v>
      </c>
      <c r="AB29" s="112" t="s">
        <v>977</v>
      </c>
      <c r="AC29" s="113" t="s">
        <v>978</v>
      </c>
    </row>
    <row r="30" customFormat="false" ht="15" hidden="false" customHeight="true" outlineLevel="0" collapsed="false">
      <c r="A30" s="40" t="n">
        <v>26</v>
      </c>
      <c r="B30" s="128" t="n">
        <v>9036</v>
      </c>
      <c r="C30" s="130" t="n">
        <v>9027</v>
      </c>
      <c r="D30" s="130" t="s">
        <v>1073</v>
      </c>
      <c r="E30" s="94" t="s">
        <v>1085</v>
      </c>
      <c r="F30" s="39" t="s">
        <v>1086</v>
      </c>
      <c r="G30" s="40" t="n">
        <v>6140438</v>
      </c>
      <c r="H30" s="95" t="s">
        <v>647</v>
      </c>
      <c r="I30" s="39" t="s">
        <v>290</v>
      </c>
      <c r="J30" s="28" t="s">
        <v>1008</v>
      </c>
      <c r="K30" s="28" t="s">
        <v>1008</v>
      </c>
      <c r="L30" s="96" t="n">
        <v>1</v>
      </c>
      <c r="M30" s="96" t="n">
        <v>1</v>
      </c>
      <c r="N30" s="96" t="n">
        <v>1</v>
      </c>
      <c r="O30" s="96" t="n">
        <v>1</v>
      </c>
      <c r="P30" s="97" t="n">
        <f aca="false" t="array" ref="P30:P30">SUM(L30:O30/4)</f>
        <v>1</v>
      </c>
      <c r="Q30" s="118" t="s">
        <v>1008</v>
      </c>
      <c r="R30" s="39" t="s">
        <v>1086</v>
      </c>
      <c r="S30" s="98" t="n">
        <v>45078</v>
      </c>
      <c r="T30" s="98" t="n">
        <f aca="false">S30+366*3</f>
        <v>46176</v>
      </c>
      <c r="U30" s="42" t="s">
        <v>1087</v>
      </c>
      <c r="V30" s="98" t="n">
        <v>45689</v>
      </c>
      <c r="W30" s="99" t="n">
        <f aca="false">SUM(V30+186)</f>
        <v>45875</v>
      </c>
      <c r="X30" s="100" t="n">
        <v>1</v>
      </c>
      <c r="Y30" s="40" t="s">
        <v>1077</v>
      </c>
      <c r="Z30" s="101" t="s">
        <v>19</v>
      </c>
      <c r="AA30" s="101" t="s">
        <v>1078</v>
      </c>
      <c r="AB30" s="102" t="s">
        <v>977</v>
      </c>
      <c r="AC30" s="103" t="s">
        <v>978</v>
      </c>
    </row>
    <row r="31" customFormat="false" ht="15" hidden="false" customHeight="true" outlineLevel="0" collapsed="false">
      <c r="A31" s="46" t="n">
        <v>22</v>
      </c>
      <c r="B31" s="129" t="n">
        <v>9036</v>
      </c>
      <c r="C31" s="46" t="n">
        <v>9027</v>
      </c>
      <c r="D31" s="46" t="s">
        <v>1073</v>
      </c>
      <c r="E31" s="48" t="s">
        <v>298</v>
      </c>
      <c r="F31" s="45" t="s">
        <v>1088</v>
      </c>
      <c r="G31" s="46" t="n">
        <v>6140589</v>
      </c>
      <c r="H31" s="45" t="s">
        <v>636</v>
      </c>
      <c r="I31" s="45" t="s">
        <v>297</v>
      </c>
      <c r="J31" s="30" t="s">
        <v>1008</v>
      </c>
      <c r="K31" s="30" t="s">
        <v>1008</v>
      </c>
      <c r="L31" s="105" t="n">
        <v>1</v>
      </c>
      <c r="M31" s="105" t="n">
        <v>1</v>
      </c>
      <c r="N31" s="105" t="n">
        <v>1</v>
      </c>
      <c r="O31" s="105" t="n">
        <v>1</v>
      </c>
      <c r="P31" s="106" t="n">
        <f aca="false" t="array" ref="P31:P31">SUM(L31:O31/4)</f>
        <v>1</v>
      </c>
      <c r="Q31" s="124" t="s">
        <v>1008</v>
      </c>
      <c r="R31" s="45" t="s">
        <v>1088</v>
      </c>
      <c r="S31" s="108" t="n">
        <v>44683</v>
      </c>
      <c r="T31" s="109" t="n">
        <f aca="false">S31+366*3</f>
        <v>45781</v>
      </c>
      <c r="U31" s="50" t="s">
        <v>1089</v>
      </c>
      <c r="V31" s="108" t="n">
        <v>45689</v>
      </c>
      <c r="W31" s="109" t="n">
        <f aca="false">SUM(V31+186)</f>
        <v>45875</v>
      </c>
      <c r="X31" s="110" t="n">
        <v>1</v>
      </c>
      <c r="Y31" s="46" t="n">
        <v>6140589</v>
      </c>
      <c r="Z31" s="111" t="s">
        <v>19</v>
      </c>
      <c r="AA31" s="30" t="s">
        <v>1090</v>
      </c>
      <c r="AB31" s="112" t="s">
        <v>977</v>
      </c>
      <c r="AC31" s="113" t="s">
        <v>978</v>
      </c>
    </row>
    <row r="32" customFormat="false" ht="15" hidden="false" customHeight="true" outlineLevel="0" collapsed="false">
      <c r="A32" s="40" t="n">
        <v>40</v>
      </c>
      <c r="B32" s="128" t="n">
        <v>9053</v>
      </c>
      <c r="C32" s="130" t="n">
        <v>9040</v>
      </c>
      <c r="D32" s="130" t="s">
        <v>1091</v>
      </c>
      <c r="E32" s="94" t="s">
        <v>310</v>
      </c>
      <c r="F32" s="39" t="s">
        <v>1092</v>
      </c>
      <c r="G32" s="40" t="n">
        <v>6141739</v>
      </c>
      <c r="H32" s="95" t="s">
        <v>682</v>
      </c>
      <c r="I32" s="39" t="s">
        <v>309</v>
      </c>
      <c r="J32" s="28" t="s">
        <v>1008</v>
      </c>
      <c r="K32" s="28" t="s">
        <v>1008</v>
      </c>
      <c r="L32" s="96" t="n">
        <v>1</v>
      </c>
      <c r="M32" s="96" t="n">
        <v>1</v>
      </c>
      <c r="N32" s="96" t="n">
        <v>1</v>
      </c>
      <c r="O32" s="96" t="n">
        <v>1</v>
      </c>
      <c r="P32" s="97" t="n">
        <f aca="false" t="array" ref="P32:P32">SUM(L32:O32/4)</f>
        <v>1</v>
      </c>
      <c r="Q32" s="118" t="s">
        <v>1008</v>
      </c>
      <c r="R32" s="39" t="s">
        <v>1093</v>
      </c>
      <c r="S32" s="98" t="n">
        <v>44928</v>
      </c>
      <c r="T32" s="98" t="n">
        <f aca="false">S32+366*3</f>
        <v>46026</v>
      </c>
      <c r="U32" s="42" t="s">
        <v>1094</v>
      </c>
      <c r="V32" s="98" t="n">
        <v>45689</v>
      </c>
      <c r="W32" s="99" t="n">
        <f aca="false">SUM(V32+186)</f>
        <v>45875</v>
      </c>
      <c r="X32" s="100" t="n">
        <v>1</v>
      </c>
      <c r="Y32" s="40" t="n">
        <v>6141739</v>
      </c>
      <c r="Z32" s="101" t="s">
        <v>19</v>
      </c>
      <c r="AA32" s="101" t="s">
        <v>1095</v>
      </c>
      <c r="AB32" s="102" t="s">
        <v>977</v>
      </c>
      <c r="AC32" s="103" t="s">
        <v>978</v>
      </c>
    </row>
    <row r="33" customFormat="false" ht="15" hidden="false" customHeight="true" outlineLevel="0" collapsed="false">
      <c r="A33" s="46" t="n">
        <v>14</v>
      </c>
      <c r="B33" s="46" t="n">
        <v>9008</v>
      </c>
      <c r="C33" s="46" t="n">
        <v>9014</v>
      </c>
      <c r="D33" s="46" t="s">
        <v>1096</v>
      </c>
      <c r="E33" s="48" t="s">
        <v>1097</v>
      </c>
      <c r="F33" s="45" t="s">
        <v>1098</v>
      </c>
      <c r="G33" s="50" t="n">
        <v>6140344</v>
      </c>
      <c r="H33" s="45" t="s">
        <v>618</v>
      </c>
      <c r="I33" s="45" t="s">
        <v>44</v>
      </c>
      <c r="J33" s="45" t="s">
        <v>342</v>
      </c>
      <c r="K33" s="45" t="s">
        <v>479</v>
      </c>
      <c r="L33" s="105" t="n">
        <v>1</v>
      </c>
      <c r="M33" s="105" t="n">
        <v>1</v>
      </c>
      <c r="N33" s="105" t="n">
        <v>1</v>
      </c>
      <c r="O33" s="105" t="n">
        <v>1</v>
      </c>
      <c r="P33" s="106" t="n">
        <f aca="false" t="array" ref="P33:P33">SUM(L33:O33/4)</f>
        <v>1</v>
      </c>
      <c r="Q33" s="106" t="n">
        <v>1</v>
      </c>
      <c r="R33" s="45" t="s">
        <v>1099</v>
      </c>
      <c r="S33" s="108" t="n">
        <v>44806</v>
      </c>
      <c r="T33" s="109" t="n">
        <f aca="false">S33+366*3</f>
        <v>45904</v>
      </c>
      <c r="U33" s="50" t="s">
        <v>1100</v>
      </c>
      <c r="V33" s="108" t="n">
        <v>45689</v>
      </c>
      <c r="W33" s="109" t="n">
        <f aca="false">SUM(V33+186)</f>
        <v>45875</v>
      </c>
      <c r="X33" s="110" t="n">
        <v>1</v>
      </c>
      <c r="Y33" s="50" t="s">
        <v>1101</v>
      </c>
      <c r="Z33" s="111" t="s">
        <v>19</v>
      </c>
      <c r="AA33" s="30" t="s">
        <v>1102</v>
      </c>
      <c r="AB33" s="112" t="s">
        <v>977</v>
      </c>
      <c r="AC33" s="113" t="s">
        <v>978</v>
      </c>
    </row>
    <row r="34" customFormat="false" ht="15" hidden="false" customHeight="true" outlineLevel="0" collapsed="false">
      <c r="A34" s="42" t="s">
        <v>1013</v>
      </c>
      <c r="B34" s="92" t="n">
        <v>9012</v>
      </c>
      <c r="C34" s="92" t="n">
        <v>9018</v>
      </c>
      <c r="D34" s="132" t="s">
        <v>1103</v>
      </c>
      <c r="E34" s="126" t="s">
        <v>60</v>
      </c>
      <c r="F34" s="39" t="s">
        <v>1104</v>
      </c>
      <c r="G34" s="42" t="n">
        <v>6140428</v>
      </c>
      <c r="H34" s="95" t="s">
        <v>624</v>
      </c>
      <c r="I34" s="39" t="s">
        <v>59</v>
      </c>
      <c r="J34" s="39" t="s">
        <v>350</v>
      </c>
      <c r="K34" s="39" t="s">
        <v>485</v>
      </c>
      <c r="L34" s="96" t="n">
        <v>1</v>
      </c>
      <c r="M34" s="96" t="n">
        <v>1</v>
      </c>
      <c r="N34" s="96" t="n">
        <v>1</v>
      </c>
      <c r="O34" s="96" t="n">
        <v>1</v>
      </c>
      <c r="P34" s="97" t="n">
        <f aca="false" t="array" ref="P34:P34">SUM(L34:O34/4)</f>
        <v>1</v>
      </c>
      <c r="Q34" s="118" t="s">
        <v>1008</v>
      </c>
      <c r="R34" s="39" t="s">
        <v>1105</v>
      </c>
      <c r="S34" s="98" t="n">
        <v>44622</v>
      </c>
      <c r="T34" s="99" t="n">
        <f aca="false">S34+366*3</f>
        <v>45720</v>
      </c>
      <c r="U34" s="42" t="s">
        <v>1106</v>
      </c>
      <c r="V34" s="98" t="n">
        <v>45689</v>
      </c>
      <c r="W34" s="99" t="n">
        <f aca="false">SUM(V34+186)</f>
        <v>45875</v>
      </c>
      <c r="X34" s="100" t="n">
        <v>1</v>
      </c>
      <c r="Y34" s="40" t="s">
        <v>1107</v>
      </c>
      <c r="Z34" s="122" t="s">
        <v>19</v>
      </c>
      <c r="AA34" s="133" t="s">
        <v>1108</v>
      </c>
      <c r="AB34" s="134" t="s">
        <v>977</v>
      </c>
      <c r="AC34" s="135" t="s">
        <v>978</v>
      </c>
    </row>
    <row r="35" customFormat="false" ht="15" hidden="false" customHeight="true" outlineLevel="0" collapsed="false">
      <c r="A35" s="50" t="s">
        <v>1013</v>
      </c>
      <c r="B35" s="50" t="n">
        <v>9036</v>
      </c>
      <c r="C35" s="50" t="n">
        <v>9024</v>
      </c>
      <c r="D35" s="50" t="s">
        <v>1109</v>
      </c>
      <c r="E35" s="48" t="s">
        <v>1110</v>
      </c>
      <c r="F35" s="45" t="s">
        <v>1111</v>
      </c>
      <c r="G35" s="46" t="n">
        <v>6140715</v>
      </c>
      <c r="H35" s="45" t="s">
        <v>658</v>
      </c>
      <c r="I35" s="45" t="s">
        <v>62</v>
      </c>
      <c r="J35" s="45" t="s">
        <v>351</v>
      </c>
      <c r="K35" s="45" t="s">
        <v>486</v>
      </c>
      <c r="L35" s="136" t="n">
        <v>1</v>
      </c>
      <c r="M35" s="105" t="n">
        <v>1</v>
      </c>
      <c r="N35" s="105" t="n">
        <v>1</v>
      </c>
      <c r="O35" s="105" t="n">
        <v>1</v>
      </c>
      <c r="P35" s="106" t="n">
        <f aca="false" t="array" ref="P35:P35">SUM(L35:O35/4)</f>
        <v>1</v>
      </c>
      <c r="Q35" s="124" t="s">
        <v>1008</v>
      </c>
      <c r="R35" s="45" t="s">
        <v>1112</v>
      </c>
      <c r="S35" s="108" t="n">
        <v>44563</v>
      </c>
      <c r="T35" s="109" t="n">
        <f aca="false">S35+366*3</f>
        <v>45661</v>
      </c>
      <c r="U35" s="50" t="s">
        <v>1113</v>
      </c>
      <c r="V35" s="108" t="n">
        <v>45689</v>
      </c>
      <c r="W35" s="109" t="n">
        <f aca="false">SUM(V35+186)</f>
        <v>45875</v>
      </c>
      <c r="X35" s="110" t="n">
        <v>1</v>
      </c>
      <c r="Y35" s="46" t="n">
        <v>6140715</v>
      </c>
      <c r="Z35" s="111" t="s">
        <v>19</v>
      </c>
      <c r="AA35" s="30" t="s">
        <v>1114</v>
      </c>
      <c r="AB35" s="112" t="s">
        <v>977</v>
      </c>
      <c r="AC35" s="113" t="s">
        <v>978</v>
      </c>
    </row>
    <row r="36" customFormat="false" ht="15" hidden="false" customHeight="true" outlineLevel="0" collapsed="false">
      <c r="A36" s="40" t="n">
        <v>32</v>
      </c>
      <c r="B36" s="130" t="n">
        <v>9024</v>
      </c>
      <c r="C36" s="130" t="n">
        <v>9032</v>
      </c>
      <c r="D36" s="130" t="s">
        <v>1115</v>
      </c>
      <c r="E36" s="137" t="s">
        <v>1116</v>
      </c>
      <c r="F36" s="39" t="s">
        <v>1117</v>
      </c>
      <c r="G36" s="42" t="n">
        <v>6140329</v>
      </c>
      <c r="H36" s="95" t="s">
        <v>615</v>
      </c>
      <c r="I36" s="39" t="s">
        <v>74</v>
      </c>
      <c r="J36" s="39" t="s">
        <v>354</v>
      </c>
      <c r="K36" s="39" t="s">
        <v>493</v>
      </c>
      <c r="L36" s="96" t="n">
        <v>1</v>
      </c>
      <c r="M36" s="96" t="n">
        <v>1</v>
      </c>
      <c r="N36" s="96" t="n">
        <v>1</v>
      </c>
      <c r="O36" s="96" t="n">
        <v>1</v>
      </c>
      <c r="P36" s="97" t="n">
        <f aca="false" t="array" ref="P36:P36">SUM(L36:O36/4)</f>
        <v>1</v>
      </c>
      <c r="Q36" s="118" t="s">
        <v>1008</v>
      </c>
      <c r="R36" s="39" t="s">
        <v>1118</v>
      </c>
      <c r="S36" s="98" t="n">
        <v>44653</v>
      </c>
      <c r="T36" s="99" t="n">
        <f aca="false">S36+366*3</f>
        <v>45751</v>
      </c>
      <c r="U36" s="42" t="s">
        <v>1119</v>
      </c>
      <c r="V36" s="98" t="n">
        <v>45689</v>
      </c>
      <c r="W36" s="99" t="n">
        <f aca="false">SUM(V36+186)</f>
        <v>45875</v>
      </c>
      <c r="X36" s="100" t="n">
        <v>1</v>
      </c>
      <c r="Y36" s="42" t="s">
        <v>1120</v>
      </c>
      <c r="Z36" s="122" t="s">
        <v>19</v>
      </c>
      <c r="AA36" s="133" t="s">
        <v>1121</v>
      </c>
      <c r="AB36" s="134" t="s">
        <v>977</v>
      </c>
      <c r="AC36" s="138" t="s">
        <v>978</v>
      </c>
    </row>
    <row r="37" customFormat="false" ht="15" hidden="false" customHeight="true" outlineLevel="0" collapsed="false">
      <c r="A37" s="40"/>
      <c r="B37" s="46" t="n">
        <v>9024</v>
      </c>
      <c r="C37" s="46" t="n">
        <v>9032</v>
      </c>
      <c r="D37" s="46" t="s">
        <v>1115</v>
      </c>
      <c r="E37" s="45" t="s">
        <v>1122</v>
      </c>
      <c r="F37" s="45" t="s">
        <v>1123</v>
      </c>
      <c r="G37" s="46" t="n">
        <v>6140807</v>
      </c>
      <c r="H37" s="45" t="s">
        <v>677</v>
      </c>
      <c r="I37" s="45" t="s">
        <v>66</v>
      </c>
      <c r="J37" s="45" t="s">
        <v>352</v>
      </c>
      <c r="K37" s="45" t="s">
        <v>487</v>
      </c>
      <c r="L37" s="105" t="n">
        <v>1</v>
      </c>
      <c r="M37" s="105" t="n">
        <v>1</v>
      </c>
      <c r="N37" s="105" t="n">
        <v>1</v>
      </c>
      <c r="O37" s="105" t="n">
        <v>1</v>
      </c>
      <c r="P37" s="106" t="n">
        <f aca="false" t="array" ref="P37:P37">SUM(L37:O37/4)</f>
        <v>1</v>
      </c>
      <c r="Q37" s="124" t="s">
        <v>1008</v>
      </c>
      <c r="R37" s="45" t="s">
        <v>1124</v>
      </c>
      <c r="S37" s="108" t="n">
        <v>44653</v>
      </c>
      <c r="T37" s="109" t="n">
        <f aca="false">S37+366*3</f>
        <v>45751</v>
      </c>
      <c r="U37" s="50" t="s">
        <v>1125</v>
      </c>
      <c r="V37" s="108" t="n">
        <v>45689</v>
      </c>
      <c r="W37" s="109" t="n">
        <f aca="false">SUM(V37+186)</f>
        <v>45875</v>
      </c>
      <c r="X37" s="127" t="n">
        <v>0</v>
      </c>
      <c r="Y37" s="42"/>
      <c r="Z37" s="122"/>
      <c r="AA37" s="133"/>
      <c r="AB37" s="133"/>
      <c r="AC37" s="133"/>
    </row>
    <row r="38" customFormat="false" ht="15" hidden="false" customHeight="true" outlineLevel="0" collapsed="false">
      <c r="A38" s="40"/>
      <c r="B38" s="139"/>
      <c r="C38" s="139" t="s">
        <v>1126</v>
      </c>
      <c r="D38" s="139"/>
      <c r="E38" s="140" t="s">
        <v>1127</v>
      </c>
      <c r="F38" s="39" t="s">
        <v>1128</v>
      </c>
      <c r="G38" s="40" t="n">
        <v>6140759</v>
      </c>
      <c r="H38" s="95" t="s">
        <v>664</v>
      </c>
      <c r="I38" s="39" t="s">
        <v>77</v>
      </c>
      <c r="J38" s="39" t="s">
        <v>355</v>
      </c>
      <c r="K38" s="39" t="s">
        <v>496</v>
      </c>
      <c r="L38" s="96" t="n">
        <v>0</v>
      </c>
      <c r="M38" s="96" t="n">
        <v>0</v>
      </c>
      <c r="N38" s="96" t="n">
        <v>0</v>
      </c>
      <c r="O38" s="96" t="n">
        <v>0</v>
      </c>
      <c r="P38" s="97" t="n">
        <f aca="false" t="array" ref="P38:P38">SUM(L38:O38/4)</f>
        <v>0</v>
      </c>
      <c r="Q38" s="118" t="s">
        <v>1008</v>
      </c>
      <c r="R38" s="42" t="s">
        <v>988</v>
      </c>
      <c r="S38" s="98"/>
      <c r="T38" s="98"/>
      <c r="U38" s="40" t="s">
        <v>988</v>
      </c>
      <c r="V38" s="42" t="s">
        <v>988</v>
      </c>
      <c r="W38" s="141"/>
      <c r="X38" s="40" t="s">
        <v>988</v>
      </c>
      <c r="Y38" s="40" t="n">
        <v>6140759</v>
      </c>
      <c r="Z38" s="131" t="s">
        <v>21</v>
      </c>
      <c r="AA38" s="28"/>
      <c r="AB38" s="98" t="s">
        <v>1129</v>
      </c>
      <c r="AC38" s="142" t="s">
        <v>1130</v>
      </c>
    </row>
    <row r="39" customFormat="false" ht="15" hidden="false" customHeight="true" outlineLevel="0" collapsed="false">
      <c r="A39" s="125" t="n">
        <v>33</v>
      </c>
      <c r="B39" s="46" t="n">
        <v>9025</v>
      </c>
      <c r="C39" s="46" t="n">
        <v>9033</v>
      </c>
      <c r="D39" s="46" t="s">
        <v>1131</v>
      </c>
      <c r="E39" s="48" t="s">
        <v>91</v>
      </c>
      <c r="F39" s="45" t="s">
        <v>1132</v>
      </c>
      <c r="G39" s="46" t="n">
        <v>6140444</v>
      </c>
      <c r="H39" s="45" t="s">
        <v>630</v>
      </c>
      <c r="I39" s="45" t="s">
        <v>149</v>
      </c>
      <c r="J39" s="45" t="s">
        <v>388</v>
      </c>
      <c r="K39" s="45" t="s">
        <v>531</v>
      </c>
      <c r="L39" s="105" t="n">
        <v>1</v>
      </c>
      <c r="M39" s="105" t="n">
        <v>1</v>
      </c>
      <c r="N39" s="105" t="n">
        <v>1</v>
      </c>
      <c r="O39" s="105" t="n">
        <v>1</v>
      </c>
      <c r="P39" s="106" t="n">
        <f aca="false" t="array" ref="P39:P39">SUM(L39:O39/4)</f>
        <v>1</v>
      </c>
      <c r="Q39" s="124" t="s">
        <v>1008</v>
      </c>
      <c r="R39" s="45" t="s">
        <v>1133</v>
      </c>
      <c r="S39" s="108" t="n">
        <v>45690</v>
      </c>
      <c r="T39" s="108" t="n">
        <f aca="false">S39+366*3</f>
        <v>46788</v>
      </c>
      <c r="U39" s="50" t="s">
        <v>1134</v>
      </c>
      <c r="V39" s="108" t="n">
        <v>45689</v>
      </c>
      <c r="W39" s="109" t="n">
        <f aca="false">SUM(V39+186)</f>
        <v>45875</v>
      </c>
      <c r="X39" s="110" t="n">
        <v>1</v>
      </c>
      <c r="Y39" s="46" t="s">
        <v>1135</v>
      </c>
      <c r="Z39" s="111" t="s">
        <v>19</v>
      </c>
      <c r="AA39" s="143" t="s">
        <v>1136</v>
      </c>
      <c r="AB39" s="144" t="s">
        <v>977</v>
      </c>
      <c r="AC39" s="145" t="s">
        <v>978</v>
      </c>
    </row>
    <row r="40" customFormat="false" ht="15" hidden="false" customHeight="true" outlineLevel="0" collapsed="false">
      <c r="A40" s="125"/>
      <c r="B40" s="130" t="n">
        <v>9025</v>
      </c>
      <c r="C40" s="130" t="n">
        <v>9033</v>
      </c>
      <c r="D40" s="130" t="s">
        <v>1131</v>
      </c>
      <c r="E40" s="94" t="s">
        <v>150</v>
      </c>
      <c r="F40" s="39" t="s">
        <v>1132</v>
      </c>
      <c r="G40" s="40" t="n">
        <v>6140444</v>
      </c>
      <c r="H40" s="95" t="s">
        <v>630</v>
      </c>
      <c r="I40" s="39" t="s">
        <v>149</v>
      </c>
      <c r="J40" s="39" t="s">
        <v>388</v>
      </c>
      <c r="K40" s="39" t="s">
        <v>531</v>
      </c>
      <c r="L40" s="96" t="n">
        <v>1</v>
      </c>
      <c r="M40" s="96" t="n">
        <v>1</v>
      </c>
      <c r="N40" s="96" t="n">
        <v>1</v>
      </c>
      <c r="O40" s="96" t="n">
        <v>1</v>
      </c>
      <c r="P40" s="97" t="n">
        <f aca="false" t="array" ref="P40:P40">SUM(L40:O40/4)</f>
        <v>1</v>
      </c>
      <c r="Q40" s="118" t="s">
        <v>1008</v>
      </c>
      <c r="R40" s="39" t="s">
        <v>1133</v>
      </c>
      <c r="S40" s="98" t="n">
        <v>45690</v>
      </c>
      <c r="T40" s="98" t="n">
        <f aca="false">S40+366*3</f>
        <v>46788</v>
      </c>
      <c r="U40" s="42" t="s">
        <v>1137</v>
      </c>
      <c r="V40" s="98" t="n">
        <v>45689</v>
      </c>
      <c r="W40" s="99" t="n">
        <f aca="false">SUM(V40+186)</f>
        <v>45875</v>
      </c>
      <c r="X40" s="100" t="n">
        <v>1</v>
      </c>
      <c r="Y40" s="40" t="s">
        <v>1138</v>
      </c>
      <c r="Z40" s="101" t="s">
        <v>19</v>
      </c>
      <c r="AA40" s="143"/>
      <c r="AB40" s="143"/>
      <c r="AC40" s="143"/>
    </row>
    <row r="41" customFormat="false" ht="15" hidden="false" customHeight="true" outlineLevel="0" collapsed="false">
      <c r="A41" s="125" t="n">
        <v>30</v>
      </c>
      <c r="B41" s="129" t="n">
        <v>9074</v>
      </c>
      <c r="C41" s="50" t="n">
        <v>9030</v>
      </c>
      <c r="D41" s="129" t="s">
        <v>1139</v>
      </c>
      <c r="E41" s="146" t="s">
        <v>1140</v>
      </c>
      <c r="F41" s="45" t="s">
        <v>1141</v>
      </c>
      <c r="G41" s="46" t="n">
        <v>6140707</v>
      </c>
      <c r="H41" s="45" t="s">
        <v>655</v>
      </c>
      <c r="I41" s="45" t="s">
        <v>103</v>
      </c>
      <c r="J41" s="45" t="s">
        <v>378</v>
      </c>
      <c r="K41" s="45" t="s">
        <v>525</v>
      </c>
      <c r="L41" s="105" t="n">
        <v>1</v>
      </c>
      <c r="M41" s="105" t="n">
        <v>1</v>
      </c>
      <c r="N41" s="105" t="n">
        <v>1</v>
      </c>
      <c r="O41" s="105" t="n">
        <v>1</v>
      </c>
      <c r="P41" s="106" t="n">
        <f aca="false" t="array" ref="P41:P41">SUM(L41:O41/4)</f>
        <v>1</v>
      </c>
      <c r="Q41" s="124" t="s">
        <v>1008</v>
      </c>
      <c r="R41" s="52" t="s">
        <v>1142</v>
      </c>
      <c r="S41" s="108" t="n">
        <v>44896</v>
      </c>
      <c r="T41" s="109" t="n">
        <f aca="false">S41+366*3</f>
        <v>45994</v>
      </c>
      <c r="U41" s="50" t="s">
        <v>1143</v>
      </c>
      <c r="V41" s="108" t="n">
        <v>45689</v>
      </c>
      <c r="W41" s="109" t="n">
        <f aca="false">SUM(V41+186)</f>
        <v>45875</v>
      </c>
      <c r="X41" s="110" t="n">
        <v>1</v>
      </c>
      <c r="Y41" s="125" t="s">
        <v>1144</v>
      </c>
      <c r="Z41" s="125" t="s">
        <v>19</v>
      </c>
      <c r="AA41" s="143" t="s">
        <v>1145</v>
      </c>
      <c r="AB41" s="112" t="s">
        <v>977</v>
      </c>
      <c r="AC41" s="113" t="s">
        <v>978</v>
      </c>
    </row>
    <row r="42" customFormat="false" ht="15" hidden="false" customHeight="true" outlineLevel="0" collapsed="false">
      <c r="A42" s="125"/>
      <c r="B42" s="128" t="n">
        <v>9074</v>
      </c>
      <c r="C42" s="92" t="n">
        <v>9030</v>
      </c>
      <c r="D42" s="128" t="s">
        <v>1139</v>
      </c>
      <c r="E42" s="126" t="s">
        <v>1146</v>
      </c>
      <c r="F42" s="39" t="s">
        <v>1147</v>
      </c>
      <c r="G42" s="40" t="n">
        <v>6140390</v>
      </c>
      <c r="H42" s="95" t="s">
        <v>655</v>
      </c>
      <c r="I42" s="39" t="s">
        <v>103</v>
      </c>
      <c r="J42" s="39" t="s">
        <v>378</v>
      </c>
      <c r="K42" s="39" t="s">
        <v>525</v>
      </c>
      <c r="L42" s="96" t="n">
        <v>1</v>
      </c>
      <c r="M42" s="96" t="n">
        <v>1</v>
      </c>
      <c r="N42" s="96" t="n">
        <v>1</v>
      </c>
      <c r="O42" s="96" t="n">
        <v>1</v>
      </c>
      <c r="P42" s="97" t="n">
        <f aca="false" t="array" ref="P42:P42">SUM(L42:O42/4)</f>
        <v>1</v>
      </c>
      <c r="Q42" s="118" t="s">
        <v>1008</v>
      </c>
      <c r="R42" s="39" t="s">
        <v>1142</v>
      </c>
      <c r="S42" s="98" t="n">
        <v>44896</v>
      </c>
      <c r="T42" s="99" t="n">
        <f aca="false">S42+366*3</f>
        <v>45994</v>
      </c>
      <c r="U42" s="42" t="s">
        <v>1148</v>
      </c>
      <c r="V42" s="98" t="n">
        <v>45689</v>
      </c>
      <c r="W42" s="99" t="n">
        <f aca="false">SUM(V42+186)</f>
        <v>45875</v>
      </c>
      <c r="X42" s="100" t="n">
        <v>1</v>
      </c>
      <c r="Y42" s="125"/>
      <c r="Z42" s="125"/>
      <c r="AA42" s="143"/>
      <c r="AB42" s="102" t="s">
        <v>977</v>
      </c>
      <c r="AC42" s="103" t="s">
        <v>978</v>
      </c>
    </row>
    <row r="43" customFormat="false" ht="15" hidden="false" customHeight="true" outlineLevel="0" collapsed="false">
      <c r="A43" s="50" t="s">
        <v>1013</v>
      </c>
      <c r="B43" s="129" t="n">
        <v>7001</v>
      </c>
      <c r="C43" s="147" t="s">
        <v>1046</v>
      </c>
      <c r="D43" s="104" t="s">
        <v>1047</v>
      </c>
      <c r="E43" s="48" t="s">
        <v>110</v>
      </c>
      <c r="F43" s="45" t="s">
        <v>1149</v>
      </c>
      <c r="G43" s="46" t="n">
        <v>6140696</v>
      </c>
      <c r="H43" s="45" t="s">
        <v>653</v>
      </c>
      <c r="I43" s="45" t="s">
        <v>109</v>
      </c>
      <c r="J43" s="45" t="s">
        <v>368</v>
      </c>
      <c r="K43" s="45" t="s">
        <v>517</v>
      </c>
      <c r="L43" s="105" t="n">
        <v>1</v>
      </c>
      <c r="M43" s="105" t="n">
        <v>1</v>
      </c>
      <c r="N43" s="105" t="n">
        <v>1</v>
      </c>
      <c r="O43" s="105" t="n">
        <v>1</v>
      </c>
      <c r="P43" s="106" t="n">
        <f aca="false" t="array" ref="P43:P43">SUM(L43:O43/4)</f>
        <v>1</v>
      </c>
      <c r="Q43" s="124" t="s">
        <v>1008</v>
      </c>
      <c r="R43" s="45" t="s">
        <v>1150</v>
      </c>
      <c r="S43" s="108" t="n">
        <v>45292</v>
      </c>
      <c r="T43" s="108" t="n">
        <f aca="false">S43+366*3</f>
        <v>46390</v>
      </c>
      <c r="U43" s="50" t="s">
        <v>1151</v>
      </c>
      <c r="V43" s="108" t="n">
        <v>45689</v>
      </c>
      <c r="W43" s="109" t="n">
        <f aca="false">SUM(V43+186)</f>
        <v>45875</v>
      </c>
      <c r="X43" s="110" t="n">
        <v>1</v>
      </c>
      <c r="Y43" s="46" t="s">
        <v>1152</v>
      </c>
      <c r="Z43" s="111" t="s">
        <v>19</v>
      </c>
      <c r="AA43" s="30" t="s">
        <v>1153</v>
      </c>
      <c r="AB43" s="112" t="s">
        <v>977</v>
      </c>
      <c r="AC43" s="113" t="s">
        <v>978</v>
      </c>
    </row>
    <row r="44" customFormat="false" ht="15" hidden="false" customHeight="true" outlineLevel="0" collapsed="false">
      <c r="A44" s="40"/>
      <c r="B44" s="130" t="n">
        <v>9015</v>
      </c>
      <c r="C44" s="130" t="n">
        <v>9021</v>
      </c>
      <c r="D44" s="130" t="s">
        <v>1154</v>
      </c>
      <c r="E44" s="94" t="s">
        <v>1155</v>
      </c>
      <c r="F44" s="39" t="s">
        <v>1156</v>
      </c>
      <c r="G44" s="40" t="n">
        <v>6141813</v>
      </c>
      <c r="H44" s="95" t="s">
        <v>695</v>
      </c>
      <c r="I44" s="39" t="s">
        <v>112</v>
      </c>
      <c r="J44" s="39" t="s">
        <v>371</v>
      </c>
      <c r="K44" s="39" t="s">
        <v>518</v>
      </c>
      <c r="L44" s="96" t="n">
        <v>0.75</v>
      </c>
      <c r="M44" s="96" t="n">
        <v>0.75</v>
      </c>
      <c r="N44" s="96" t="n">
        <v>0.75</v>
      </c>
      <c r="O44" s="96" t="n">
        <v>0</v>
      </c>
      <c r="P44" s="97" t="n">
        <f aca="false" t="array" ref="P44:P44">SUM(L44:O44/4)</f>
        <v>0.5625</v>
      </c>
      <c r="Q44" s="118" t="s">
        <v>1008</v>
      </c>
      <c r="R44" s="42" t="s">
        <v>988</v>
      </c>
      <c r="S44" s="98"/>
      <c r="T44" s="98"/>
      <c r="U44" s="40" t="s">
        <v>988</v>
      </c>
      <c r="V44" s="42" t="s">
        <v>988</v>
      </c>
      <c r="W44" s="141"/>
      <c r="X44" s="40" t="s">
        <v>988</v>
      </c>
      <c r="Y44" s="72" t="s">
        <v>992</v>
      </c>
      <c r="Z44" s="115" t="s">
        <v>5</v>
      </c>
      <c r="AA44" s="28"/>
      <c r="AB44" s="102" t="s">
        <v>977</v>
      </c>
      <c r="AC44" s="103" t="s">
        <v>1157</v>
      </c>
    </row>
    <row r="45" customFormat="false" ht="15" hidden="false" customHeight="true" outlineLevel="0" collapsed="false">
      <c r="A45" s="46" t="n">
        <v>11</v>
      </c>
      <c r="B45" s="46" t="n">
        <v>9005</v>
      </c>
      <c r="C45" s="46" t="n">
        <v>9011</v>
      </c>
      <c r="D45" s="46"/>
      <c r="E45" s="47" t="s">
        <v>1158</v>
      </c>
      <c r="F45" s="45" t="s">
        <v>1159</v>
      </c>
      <c r="G45" s="46" t="n">
        <v>6141715</v>
      </c>
      <c r="H45" s="45" t="s">
        <v>680</v>
      </c>
      <c r="I45" s="45" t="s">
        <v>127</v>
      </c>
      <c r="J45" s="45" t="s">
        <v>377</v>
      </c>
      <c r="K45" s="45" t="s">
        <v>524</v>
      </c>
      <c r="L45" s="105" t="n">
        <v>1</v>
      </c>
      <c r="M45" s="105" t="n">
        <v>1</v>
      </c>
      <c r="N45" s="105" t="n">
        <v>1</v>
      </c>
      <c r="O45" s="105" t="n">
        <v>1</v>
      </c>
      <c r="P45" s="106" t="n">
        <f aca="false" t="array" ref="P45:P45">SUM(L45:O45/4)</f>
        <v>1</v>
      </c>
      <c r="Q45" s="106" t="n">
        <v>1</v>
      </c>
      <c r="R45" s="52" t="s">
        <v>1160</v>
      </c>
      <c r="S45" s="108" t="n">
        <v>44867</v>
      </c>
      <c r="T45" s="109" t="n">
        <f aca="false">S45+366*3</f>
        <v>45965</v>
      </c>
      <c r="U45" s="50" t="s">
        <v>1161</v>
      </c>
      <c r="V45" s="108" t="n">
        <v>45689</v>
      </c>
      <c r="W45" s="109" t="n">
        <f aca="false">SUM(V45+186)</f>
        <v>45875</v>
      </c>
      <c r="X45" s="110" t="n">
        <v>1</v>
      </c>
      <c r="Y45" s="46" t="n">
        <v>6141715</v>
      </c>
      <c r="Z45" s="111" t="s">
        <v>19</v>
      </c>
      <c r="AA45" s="30" t="s">
        <v>1162</v>
      </c>
      <c r="AB45" s="112" t="s">
        <v>977</v>
      </c>
      <c r="AC45" s="113" t="s">
        <v>978</v>
      </c>
    </row>
    <row r="46" customFormat="false" ht="15" hidden="false" customHeight="true" outlineLevel="0" collapsed="false">
      <c r="A46" s="40" t="n">
        <v>39</v>
      </c>
      <c r="B46" s="139"/>
      <c r="C46" s="148" t="s">
        <v>1126</v>
      </c>
      <c r="D46" s="149" t="s">
        <v>1163</v>
      </c>
      <c r="E46" s="140" t="s">
        <v>137</v>
      </c>
      <c r="F46" s="39" t="s">
        <v>1164</v>
      </c>
      <c r="G46" s="40" t="n">
        <v>6141725</v>
      </c>
      <c r="H46" s="95" t="s">
        <v>681</v>
      </c>
      <c r="I46" s="39" t="s">
        <v>136</v>
      </c>
      <c r="J46" s="39" t="s">
        <v>380</v>
      </c>
      <c r="K46" s="39" t="s">
        <v>527</v>
      </c>
      <c r="L46" s="96" t="n">
        <v>1</v>
      </c>
      <c r="M46" s="96" t="n">
        <v>1</v>
      </c>
      <c r="N46" s="96" t="n">
        <v>1</v>
      </c>
      <c r="O46" s="96" t="n">
        <v>1</v>
      </c>
      <c r="P46" s="97" t="n">
        <f aca="false" t="array" ref="P46:P46">SUM(L46:O46/4)</f>
        <v>1</v>
      </c>
      <c r="Q46" s="118" t="s">
        <v>1008</v>
      </c>
      <c r="R46" s="39" t="s">
        <v>1165</v>
      </c>
      <c r="S46" s="98" t="n">
        <v>44714</v>
      </c>
      <c r="T46" s="99" t="n">
        <f aca="false">S46+366*3</f>
        <v>45812</v>
      </c>
      <c r="U46" s="42" t="s">
        <v>1166</v>
      </c>
      <c r="V46" s="98" t="n">
        <v>45689</v>
      </c>
      <c r="W46" s="99" t="n">
        <f aca="false">SUM(V46+186)</f>
        <v>45875</v>
      </c>
      <c r="X46" s="100" t="n">
        <v>1</v>
      </c>
      <c r="Y46" s="40" t="s">
        <v>1167</v>
      </c>
      <c r="Z46" s="101" t="s">
        <v>19</v>
      </c>
      <c r="AA46" s="101" t="s">
        <v>1168</v>
      </c>
      <c r="AB46" s="102" t="s">
        <v>977</v>
      </c>
      <c r="AC46" s="103" t="s">
        <v>978</v>
      </c>
    </row>
    <row r="47" customFormat="false" ht="15" hidden="false" customHeight="true" outlineLevel="0" collapsed="false">
      <c r="A47" s="46"/>
      <c r="B47" s="46" t="n">
        <v>9033</v>
      </c>
      <c r="C47" s="46" t="n">
        <v>9041</v>
      </c>
      <c r="D47" s="129" t="s">
        <v>1169</v>
      </c>
      <c r="E47" s="48" t="s">
        <v>1170</v>
      </c>
      <c r="F47" s="45" t="s">
        <v>1171</v>
      </c>
      <c r="G47" s="30" t="s">
        <v>988</v>
      </c>
      <c r="H47" s="45" t="s">
        <v>723</v>
      </c>
      <c r="I47" s="45" t="s">
        <v>140</v>
      </c>
      <c r="J47" s="45" t="s">
        <v>383</v>
      </c>
      <c r="K47" s="45" t="s">
        <v>528</v>
      </c>
      <c r="L47" s="105" t="n">
        <v>1</v>
      </c>
      <c r="M47" s="105" t="n">
        <v>1</v>
      </c>
      <c r="N47" s="105" t="n">
        <v>1</v>
      </c>
      <c r="O47" s="105" t="n">
        <v>1</v>
      </c>
      <c r="P47" s="106" t="n">
        <f aca="false" t="array" ref="P47:P47">SUM(L47:O47/4)</f>
        <v>1</v>
      </c>
      <c r="Q47" s="124" t="s">
        <v>1008</v>
      </c>
      <c r="R47" s="45" t="s">
        <v>1171</v>
      </c>
      <c r="S47" s="108" t="n">
        <v>45718</v>
      </c>
      <c r="T47" s="108" t="n">
        <f aca="false">S47+366*3</f>
        <v>46816</v>
      </c>
      <c r="U47" s="46" t="s">
        <v>988</v>
      </c>
      <c r="V47" s="108" t="n">
        <v>45718</v>
      </c>
      <c r="W47" s="109" t="n">
        <f aca="false">SUM(V47+186)</f>
        <v>45904</v>
      </c>
      <c r="X47" s="46" t="s">
        <v>988</v>
      </c>
      <c r="Y47" s="46" t="s">
        <v>1172</v>
      </c>
      <c r="Z47" s="111" t="s">
        <v>19</v>
      </c>
      <c r="AA47" s="150" t="s">
        <v>1173</v>
      </c>
      <c r="AB47" s="108"/>
      <c r="AC47" s="113" t="s">
        <v>978</v>
      </c>
    </row>
    <row r="48" customFormat="false" ht="15" hidden="false" customHeight="true" outlineLevel="0" collapsed="false">
      <c r="A48" s="40" t="n">
        <v>44</v>
      </c>
      <c r="B48" s="139"/>
      <c r="C48" s="149" t="s">
        <v>1126</v>
      </c>
      <c r="D48" s="139"/>
      <c r="E48" s="140" t="s">
        <v>144</v>
      </c>
      <c r="F48" s="39" t="s">
        <v>1174</v>
      </c>
      <c r="G48" s="40" t="n">
        <v>6140785</v>
      </c>
      <c r="H48" s="95" t="s">
        <v>673</v>
      </c>
      <c r="I48" s="39" t="s">
        <v>143</v>
      </c>
      <c r="J48" s="39" t="s">
        <v>386</v>
      </c>
      <c r="K48" s="39" t="s">
        <v>529</v>
      </c>
      <c r="L48" s="96" t="n">
        <v>1</v>
      </c>
      <c r="M48" s="96" t="n">
        <v>1</v>
      </c>
      <c r="N48" s="96" t="n">
        <v>1</v>
      </c>
      <c r="O48" s="96" t="n">
        <v>1</v>
      </c>
      <c r="P48" s="97" t="n">
        <f aca="false" t="array" ref="P48:P48">SUM(L48:O48/4)</f>
        <v>1</v>
      </c>
      <c r="Q48" s="118" t="s">
        <v>1008</v>
      </c>
      <c r="R48" s="39" t="s">
        <v>1175</v>
      </c>
      <c r="S48" s="98" t="n">
        <v>44653</v>
      </c>
      <c r="T48" s="99" t="n">
        <f aca="false">S48+366*3</f>
        <v>45751</v>
      </c>
      <c r="U48" s="42" t="s">
        <v>1176</v>
      </c>
      <c r="V48" s="98" t="n">
        <v>45689</v>
      </c>
      <c r="W48" s="99" t="n">
        <f aca="false">SUM(V48+186)</f>
        <v>45875</v>
      </c>
      <c r="X48" s="123" t="n">
        <v>0</v>
      </c>
      <c r="Y48" s="40" t="s">
        <v>1177</v>
      </c>
      <c r="Z48" s="101" t="s">
        <v>19</v>
      </c>
      <c r="AA48" s="101" t="s">
        <v>1178</v>
      </c>
      <c r="AB48" s="102" t="s">
        <v>977</v>
      </c>
      <c r="AC48" s="103" t="s">
        <v>978</v>
      </c>
    </row>
    <row r="49" customFormat="false" ht="15" hidden="false" customHeight="true" outlineLevel="0" collapsed="false">
      <c r="A49" s="46"/>
      <c r="B49" s="46" t="n">
        <v>9010</v>
      </c>
      <c r="C49" s="46" t="n">
        <v>9016</v>
      </c>
      <c r="D49" s="129" t="s">
        <v>828</v>
      </c>
      <c r="E49" s="48" t="s">
        <v>828</v>
      </c>
      <c r="F49" s="45" t="s">
        <v>1179</v>
      </c>
      <c r="G49" s="46" t="n">
        <v>6140738</v>
      </c>
      <c r="H49" s="45" t="s">
        <v>661</v>
      </c>
      <c r="I49" s="45" t="s">
        <v>146</v>
      </c>
      <c r="J49" s="45" t="s">
        <v>387</v>
      </c>
      <c r="K49" s="45" t="s">
        <v>530</v>
      </c>
      <c r="L49" s="105" t="n">
        <v>1</v>
      </c>
      <c r="M49" s="105" t="n">
        <v>1</v>
      </c>
      <c r="N49" s="105" t="n">
        <v>1</v>
      </c>
      <c r="O49" s="105" t="n">
        <v>1</v>
      </c>
      <c r="P49" s="106" t="n">
        <f aca="false" t="array" ref="P49:P49">SUM(L49:O49/4)</f>
        <v>1</v>
      </c>
      <c r="Q49" s="124" t="s">
        <v>1008</v>
      </c>
      <c r="R49" s="45" t="s">
        <v>1180</v>
      </c>
      <c r="S49" s="108" t="n">
        <v>45353</v>
      </c>
      <c r="T49" s="108" t="n">
        <f aca="false">S49+366*3</f>
        <v>46451</v>
      </c>
      <c r="U49" s="50" t="s">
        <v>1181</v>
      </c>
      <c r="V49" s="108" t="n">
        <v>45689</v>
      </c>
      <c r="W49" s="109" t="n">
        <f aca="false">SUM(V49+186)</f>
        <v>45875</v>
      </c>
      <c r="X49" s="127" t="n">
        <v>0</v>
      </c>
      <c r="Y49" s="46" t="s">
        <v>1182</v>
      </c>
      <c r="Z49" s="111" t="s">
        <v>19</v>
      </c>
      <c r="AA49" s="30" t="s">
        <v>1183</v>
      </c>
      <c r="AB49" s="112" t="s">
        <v>977</v>
      </c>
      <c r="AC49" s="113" t="s">
        <v>978</v>
      </c>
    </row>
    <row r="50" customFormat="false" ht="15" hidden="false" customHeight="true" outlineLevel="0" collapsed="false">
      <c r="A50" s="40" t="n">
        <v>17</v>
      </c>
      <c r="B50" s="130" t="n">
        <v>9011</v>
      </c>
      <c r="C50" s="130" t="n">
        <v>9017</v>
      </c>
      <c r="D50" s="130"/>
      <c r="E50" s="94" t="s">
        <v>154</v>
      </c>
      <c r="F50" s="39" t="s">
        <v>1184</v>
      </c>
      <c r="G50" s="40" t="n">
        <v>6140657</v>
      </c>
      <c r="H50" s="95" t="s">
        <v>646</v>
      </c>
      <c r="I50" s="39" t="s">
        <v>153</v>
      </c>
      <c r="J50" s="39" t="s">
        <v>389</v>
      </c>
      <c r="K50" s="39" t="s">
        <v>532</v>
      </c>
      <c r="L50" s="96" t="n">
        <v>1</v>
      </c>
      <c r="M50" s="96" t="n">
        <v>1</v>
      </c>
      <c r="N50" s="96" t="n">
        <v>1</v>
      </c>
      <c r="O50" s="96" t="n">
        <v>1</v>
      </c>
      <c r="P50" s="97" t="n">
        <f aca="false" t="array" ref="P50:P50">SUM(L50:O50/4)</f>
        <v>1</v>
      </c>
      <c r="Q50" s="118" t="s">
        <v>1008</v>
      </c>
      <c r="R50" s="39" t="s">
        <v>1185</v>
      </c>
      <c r="S50" s="98" t="n">
        <v>44653</v>
      </c>
      <c r="T50" s="99" t="n">
        <f aca="false">S50+366*3</f>
        <v>45751</v>
      </c>
      <c r="U50" s="42" t="s">
        <v>1186</v>
      </c>
      <c r="V50" s="98" t="n">
        <v>45689</v>
      </c>
      <c r="W50" s="99" t="n">
        <f aca="false">SUM(V50+186)</f>
        <v>45875</v>
      </c>
      <c r="X50" s="100" t="n">
        <v>1</v>
      </c>
      <c r="Y50" s="40" t="s">
        <v>1187</v>
      </c>
      <c r="Z50" s="101" t="s">
        <v>19</v>
      </c>
      <c r="AA50" s="101" t="s">
        <v>1188</v>
      </c>
      <c r="AB50" s="102" t="s">
        <v>977</v>
      </c>
      <c r="AC50" s="103" t="s">
        <v>978</v>
      </c>
    </row>
    <row r="51" customFormat="false" ht="15" hidden="false" customHeight="true" outlineLevel="0" collapsed="false">
      <c r="A51" s="46" t="s">
        <v>1013</v>
      </c>
      <c r="B51" s="129" t="n">
        <v>7001</v>
      </c>
      <c r="C51" s="147" t="s">
        <v>1046</v>
      </c>
      <c r="D51" s="104" t="s">
        <v>1047</v>
      </c>
      <c r="E51" s="48" t="s">
        <v>1189</v>
      </c>
      <c r="F51" s="50" t="s">
        <v>987</v>
      </c>
      <c r="G51" s="50" t="s">
        <v>987</v>
      </c>
      <c r="H51" s="45" t="s">
        <v>700</v>
      </c>
      <c r="I51" s="45" t="s">
        <v>156</v>
      </c>
      <c r="J51" s="45" t="s">
        <v>390</v>
      </c>
      <c r="K51" s="45" t="s">
        <v>533</v>
      </c>
      <c r="L51" s="105" t="n">
        <v>1</v>
      </c>
      <c r="M51" s="105" t="n">
        <v>1</v>
      </c>
      <c r="N51" s="105" t="n">
        <v>1</v>
      </c>
      <c r="O51" s="105" t="n">
        <v>1</v>
      </c>
      <c r="P51" s="106" t="n">
        <f aca="false" t="array" ref="P51:P51">SUM(L51:O51/4)</f>
        <v>1</v>
      </c>
      <c r="Q51" s="124" t="s">
        <v>1008</v>
      </c>
      <c r="R51" s="45" t="s">
        <v>1190</v>
      </c>
      <c r="S51" s="108" t="n">
        <v>44622</v>
      </c>
      <c r="T51" s="109" t="n">
        <f aca="false">S51+366*3</f>
        <v>45720</v>
      </c>
      <c r="U51" s="50" t="s">
        <v>1191</v>
      </c>
      <c r="V51" s="108" t="n">
        <v>45689</v>
      </c>
      <c r="W51" s="109" t="n">
        <f aca="false">SUM(V51+186)</f>
        <v>45875</v>
      </c>
      <c r="X51" s="110" t="n">
        <v>1</v>
      </c>
      <c r="Y51" s="46" t="s">
        <v>1192</v>
      </c>
      <c r="Z51" s="111" t="s">
        <v>19</v>
      </c>
      <c r="AA51" s="30" t="s">
        <v>1193</v>
      </c>
      <c r="AB51" s="112" t="s">
        <v>977</v>
      </c>
      <c r="AC51" s="113" t="s">
        <v>978</v>
      </c>
    </row>
    <row r="52" customFormat="false" ht="15" hidden="false" customHeight="true" outlineLevel="0" collapsed="false">
      <c r="A52" s="40" t="n">
        <v>29</v>
      </c>
      <c r="B52" s="128" t="n">
        <v>9036</v>
      </c>
      <c r="C52" s="130" t="n">
        <v>9029</v>
      </c>
      <c r="D52" s="92" t="s">
        <v>1073</v>
      </c>
      <c r="E52" s="94" t="s">
        <v>548</v>
      </c>
      <c r="F52" s="39" t="s">
        <v>1194</v>
      </c>
      <c r="G52" s="42" t="n">
        <v>6140800</v>
      </c>
      <c r="H52" s="95" t="s">
        <v>676</v>
      </c>
      <c r="I52" s="39" t="s">
        <v>194</v>
      </c>
      <c r="J52" s="39" t="s">
        <v>409</v>
      </c>
      <c r="K52" s="39" t="s">
        <v>547</v>
      </c>
      <c r="L52" s="96" t="n">
        <v>1</v>
      </c>
      <c r="M52" s="96" t="n">
        <v>1</v>
      </c>
      <c r="N52" s="96" t="n">
        <v>1</v>
      </c>
      <c r="O52" s="96" t="n">
        <v>1</v>
      </c>
      <c r="P52" s="97" t="n">
        <f aca="false" t="array" ref="P52:P52">SUM(L52:O52/4)</f>
        <v>1</v>
      </c>
      <c r="Q52" s="118" t="s">
        <v>1008</v>
      </c>
      <c r="R52" s="39" t="s">
        <v>1195</v>
      </c>
      <c r="S52" s="98" t="n">
        <v>44775</v>
      </c>
      <c r="T52" s="99" t="n">
        <f aca="false">S52+366*3</f>
        <v>45873</v>
      </c>
      <c r="U52" s="42" t="s">
        <v>1196</v>
      </c>
      <c r="V52" s="98" t="n">
        <v>45689</v>
      </c>
      <c r="W52" s="99" t="n">
        <f aca="false">SUM(V52+186)</f>
        <v>45875</v>
      </c>
      <c r="X52" s="100" t="n">
        <v>1</v>
      </c>
      <c r="Y52" s="40" t="s">
        <v>195</v>
      </c>
      <c r="Z52" s="101" t="s">
        <v>19</v>
      </c>
      <c r="AA52" s="101" t="s">
        <v>1197</v>
      </c>
      <c r="AB52" s="102" t="s">
        <v>977</v>
      </c>
      <c r="AC52" s="103" t="s">
        <v>978</v>
      </c>
    </row>
    <row r="53" customFormat="false" ht="15" hidden="false" customHeight="true" outlineLevel="0" collapsed="false">
      <c r="A53" s="46" t="n">
        <v>29</v>
      </c>
      <c r="B53" s="129" t="n">
        <v>9036</v>
      </c>
      <c r="C53" s="46" t="n">
        <v>9024</v>
      </c>
      <c r="D53" s="46" t="s">
        <v>1073</v>
      </c>
      <c r="E53" s="48" t="s">
        <v>160</v>
      </c>
      <c r="F53" s="45" t="s">
        <v>1198</v>
      </c>
      <c r="G53" s="50" t="s">
        <v>987</v>
      </c>
      <c r="H53" s="45" t="s">
        <v>676</v>
      </c>
      <c r="I53" s="45" t="s">
        <v>194</v>
      </c>
      <c r="J53" s="45" t="s">
        <v>391</v>
      </c>
      <c r="K53" s="45" t="s">
        <v>534</v>
      </c>
      <c r="L53" s="105" t="n">
        <v>1</v>
      </c>
      <c r="M53" s="105" t="n">
        <v>1</v>
      </c>
      <c r="N53" s="105" t="n">
        <v>1</v>
      </c>
      <c r="O53" s="105" t="n">
        <v>1</v>
      </c>
      <c r="P53" s="106" t="n">
        <f aca="false" t="array" ref="P53:P53">SUM(L53:O53/4)</f>
        <v>1</v>
      </c>
      <c r="Q53" s="124" t="s">
        <v>1008</v>
      </c>
      <c r="R53" s="45" t="s">
        <v>1195</v>
      </c>
      <c r="S53" s="108" t="n">
        <v>44775</v>
      </c>
      <c r="T53" s="109" t="n">
        <f aca="false">S53+366*3</f>
        <v>45873</v>
      </c>
      <c r="U53" s="50" t="s">
        <v>1199</v>
      </c>
      <c r="V53" s="108" t="n">
        <v>45689</v>
      </c>
      <c r="W53" s="109" t="n">
        <f aca="false">SUM(V53+186)</f>
        <v>45875</v>
      </c>
      <c r="X53" s="110" t="n">
        <v>1</v>
      </c>
      <c r="Y53" s="46" t="s">
        <v>195</v>
      </c>
      <c r="Z53" s="111" t="s">
        <v>19</v>
      </c>
      <c r="AA53" s="30" t="s">
        <v>1200</v>
      </c>
      <c r="AB53" s="112" t="s">
        <v>977</v>
      </c>
      <c r="AC53" s="113" t="s">
        <v>978</v>
      </c>
    </row>
    <row r="54" customFormat="false" ht="15" hidden="false" customHeight="true" outlineLevel="0" collapsed="false">
      <c r="A54" s="40" t="n">
        <v>33</v>
      </c>
      <c r="B54" s="130" t="n">
        <v>9047</v>
      </c>
      <c r="C54" s="130" t="n">
        <v>9060</v>
      </c>
      <c r="D54" s="130"/>
      <c r="E54" s="94" t="s">
        <v>1201</v>
      </c>
      <c r="F54" s="39" t="s">
        <v>1202</v>
      </c>
      <c r="G54" s="42" t="s">
        <v>987</v>
      </c>
      <c r="H54" s="95" t="s">
        <v>716</v>
      </c>
      <c r="I54" s="39" t="s">
        <v>165</v>
      </c>
      <c r="J54" s="39" t="s">
        <v>396</v>
      </c>
      <c r="K54" s="39" t="s">
        <v>536</v>
      </c>
      <c r="L54" s="96" t="n">
        <v>1</v>
      </c>
      <c r="M54" s="96" t="n">
        <v>1</v>
      </c>
      <c r="N54" s="96" t="n">
        <v>1</v>
      </c>
      <c r="O54" s="96" t="n">
        <v>1</v>
      </c>
      <c r="P54" s="97" t="n">
        <f aca="false" t="array" ref="P54:P54">SUM(L54:O54/4)</f>
        <v>1</v>
      </c>
      <c r="Q54" s="118" t="s">
        <v>1008</v>
      </c>
      <c r="R54" s="39" t="s">
        <v>1202</v>
      </c>
      <c r="S54" s="98" t="n">
        <v>45566</v>
      </c>
      <c r="T54" s="98" t="n">
        <f aca="false">S54+366*3</f>
        <v>46664</v>
      </c>
      <c r="U54" s="42" t="s">
        <v>1203</v>
      </c>
      <c r="V54" s="98" t="n">
        <v>45566</v>
      </c>
      <c r="W54" s="99" t="n">
        <f aca="false">SUM(V54+186)</f>
        <v>45752</v>
      </c>
      <c r="X54" s="100" t="n">
        <v>1</v>
      </c>
      <c r="Y54" s="40" t="s">
        <v>166</v>
      </c>
      <c r="Z54" s="101" t="s">
        <v>19</v>
      </c>
      <c r="AA54" s="101" t="s">
        <v>1204</v>
      </c>
      <c r="AB54" s="102" t="s">
        <v>977</v>
      </c>
      <c r="AC54" s="103" t="s">
        <v>978</v>
      </c>
    </row>
    <row r="55" customFormat="false" ht="15" hidden="false" customHeight="true" outlineLevel="0" collapsed="false">
      <c r="A55" s="46" t="s">
        <v>1013</v>
      </c>
      <c r="B55" s="46" t="n">
        <v>9048</v>
      </c>
      <c r="C55" s="46" t="n">
        <v>9061</v>
      </c>
      <c r="D55" s="46"/>
      <c r="E55" s="48" t="s">
        <v>1205</v>
      </c>
      <c r="F55" s="45" t="s">
        <v>1206</v>
      </c>
      <c r="G55" s="50" t="s">
        <v>987</v>
      </c>
      <c r="H55" s="45" t="s">
        <v>717</v>
      </c>
      <c r="I55" s="45" t="s">
        <v>170</v>
      </c>
      <c r="J55" s="45" t="s">
        <v>398</v>
      </c>
      <c r="K55" s="45" t="s">
        <v>537</v>
      </c>
      <c r="L55" s="105" t="n">
        <v>1</v>
      </c>
      <c r="M55" s="105" t="n">
        <v>1</v>
      </c>
      <c r="N55" s="105" t="n">
        <v>1</v>
      </c>
      <c r="O55" s="105" t="n">
        <v>1</v>
      </c>
      <c r="P55" s="106" t="n">
        <f aca="false" t="array" ref="P55:P55">SUM(L55:O55/4)</f>
        <v>1</v>
      </c>
      <c r="Q55" s="124" t="s">
        <v>1008</v>
      </c>
      <c r="R55" s="45" t="s">
        <v>1206</v>
      </c>
      <c r="S55" s="108" t="n">
        <v>45566</v>
      </c>
      <c r="T55" s="108" t="n">
        <f aca="false">S55+366*3</f>
        <v>46664</v>
      </c>
      <c r="U55" s="50" t="s">
        <v>1207</v>
      </c>
      <c r="V55" s="108" t="n">
        <v>45566</v>
      </c>
      <c r="W55" s="109" t="n">
        <f aca="false">SUM(V55+186)</f>
        <v>45752</v>
      </c>
      <c r="X55" s="110" t="n">
        <v>1</v>
      </c>
      <c r="Y55" s="50" t="s">
        <v>171</v>
      </c>
      <c r="Z55" s="111" t="s">
        <v>19</v>
      </c>
      <c r="AA55" s="30" t="s">
        <v>1208</v>
      </c>
      <c r="AB55" s="112" t="s">
        <v>977</v>
      </c>
      <c r="AC55" s="113" t="s">
        <v>978</v>
      </c>
    </row>
    <row r="56" customFormat="false" ht="15" hidden="false" customHeight="true" outlineLevel="0" collapsed="false">
      <c r="A56" s="40" t="n">
        <v>36</v>
      </c>
      <c r="B56" s="130" t="n">
        <v>9028</v>
      </c>
      <c r="C56" s="130" t="n">
        <v>9036</v>
      </c>
      <c r="D56" s="130"/>
      <c r="E56" s="94" t="s">
        <v>1209</v>
      </c>
      <c r="F56" s="39" t="s">
        <v>1210</v>
      </c>
      <c r="G56" s="42" t="s">
        <v>987</v>
      </c>
      <c r="H56" s="95" t="s">
        <v>718</v>
      </c>
      <c r="I56" s="39" t="s">
        <v>174</v>
      </c>
      <c r="J56" s="39" t="s">
        <v>399</v>
      </c>
      <c r="K56" s="39" t="s">
        <v>538</v>
      </c>
      <c r="L56" s="96" t="n">
        <v>1</v>
      </c>
      <c r="M56" s="96" t="n">
        <v>1</v>
      </c>
      <c r="N56" s="96" t="n">
        <v>1</v>
      </c>
      <c r="O56" s="96" t="n">
        <v>1</v>
      </c>
      <c r="P56" s="97" t="n">
        <f aca="false" t="array" ref="P56:P56">SUM(L56:O56/4)</f>
        <v>1</v>
      </c>
      <c r="Q56" s="118" t="s">
        <v>1008</v>
      </c>
      <c r="R56" s="39" t="s">
        <v>1210</v>
      </c>
      <c r="S56" s="98" t="n">
        <v>44594</v>
      </c>
      <c r="T56" s="99" t="n">
        <f aca="false">S56+366*3</f>
        <v>45692</v>
      </c>
      <c r="U56" s="42" t="s">
        <v>1211</v>
      </c>
      <c r="V56" s="98" t="n">
        <v>45689</v>
      </c>
      <c r="W56" s="99" t="n">
        <f aca="false">SUM(V56+186)</f>
        <v>45875</v>
      </c>
      <c r="X56" s="100" t="n">
        <v>1</v>
      </c>
      <c r="Y56" s="42" t="s">
        <v>175</v>
      </c>
      <c r="Z56" s="101" t="s">
        <v>19</v>
      </c>
      <c r="AA56" s="101" t="s">
        <v>1212</v>
      </c>
      <c r="AB56" s="102" t="s">
        <v>977</v>
      </c>
      <c r="AC56" s="103" t="s">
        <v>978</v>
      </c>
    </row>
    <row r="57" customFormat="false" ht="15" hidden="false" customHeight="true" outlineLevel="0" collapsed="false">
      <c r="A57" s="46" t="s">
        <v>1013</v>
      </c>
      <c r="B57" s="46"/>
      <c r="C57" s="46" t="s">
        <v>1126</v>
      </c>
      <c r="D57" s="46"/>
      <c r="E57" s="48" t="s">
        <v>184</v>
      </c>
      <c r="F57" s="45" t="s">
        <v>1213</v>
      </c>
      <c r="G57" s="50" t="s">
        <v>987</v>
      </c>
      <c r="H57" s="45" t="s">
        <v>726</v>
      </c>
      <c r="I57" s="45" t="s">
        <v>182</v>
      </c>
      <c r="J57" s="45" t="s">
        <v>403</v>
      </c>
      <c r="K57" s="45" t="s">
        <v>541</v>
      </c>
      <c r="L57" s="105" t="n">
        <v>1</v>
      </c>
      <c r="M57" s="105" t="n">
        <v>1</v>
      </c>
      <c r="N57" s="105" t="n">
        <v>1</v>
      </c>
      <c r="O57" s="105" t="n">
        <v>1</v>
      </c>
      <c r="P57" s="106" t="n">
        <f aca="false" t="array" ref="P57:P57">SUM(L57:O57/4)</f>
        <v>1</v>
      </c>
      <c r="Q57" s="124" t="s">
        <v>1008</v>
      </c>
      <c r="R57" s="45" t="s">
        <v>1213</v>
      </c>
      <c r="S57" s="108" t="n">
        <v>45597</v>
      </c>
      <c r="T57" s="108" t="n">
        <f aca="false">S57+366*3</f>
        <v>46695</v>
      </c>
      <c r="U57" s="50" t="s">
        <v>1214</v>
      </c>
      <c r="V57" s="108" t="n">
        <v>45597</v>
      </c>
      <c r="W57" s="109" t="n">
        <f aca="false">SUM(V57+186)</f>
        <v>45783</v>
      </c>
      <c r="X57" s="110" t="n">
        <v>1</v>
      </c>
      <c r="Y57" s="50" t="s">
        <v>183</v>
      </c>
      <c r="Z57" s="111" t="s">
        <v>19</v>
      </c>
      <c r="AA57" s="30" t="s">
        <v>1215</v>
      </c>
      <c r="AB57" s="112" t="s">
        <v>977</v>
      </c>
      <c r="AC57" s="113" t="s">
        <v>978</v>
      </c>
    </row>
    <row r="58" customFormat="false" ht="15" hidden="false" customHeight="true" outlineLevel="0" collapsed="false">
      <c r="A58" s="40" t="n">
        <v>18</v>
      </c>
      <c r="B58" s="130" t="n">
        <v>9012</v>
      </c>
      <c r="C58" s="130" t="n">
        <v>9018</v>
      </c>
      <c r="D58" s="130"/>
      <c r="E58" s="94" t="s">
        <v>188</v>
      </c>
      <c r="F58" s="39" t="s">
        <v>1216</v>
      </c>
      <c r="G58" s="42" t="s">
        <v>987</v>
      </c>
      <c r="H58" s="95" t="s">
        <v>727</v>
      </c>
      <c r="I58" s="39" t="s">
        <v>186</v>
      </c>
      <c r="J58" s="39" t="s">
        <v>404</v>
      </c>
      <c r="K58" s="39" t="s">
        <v>542</v>
      </c>
      <c r="L58" s="96" t="n">
        <v>1</v>
      </c>
      <c r="M58" s="96" t="n">
        <v>1</v>
      </c>
      <c r="N58" s="96" t="n">
        <v>1</v>
      </c>
      <c r="O58" s="96" t="n">
        <v>1</v>
      </c>
      <c r="P58" s="97" t="n">
        <f aca="false" t="array" ref="P58:P58">SUM(L58:O58/4)</f>
        <v>1</v>
      </c>
      <c r="Q58" s="118" t="s">
        <v>1008</v>
      </c>
      <c r="R58" s="39" t="s">
        <v>1216</v>
      </c>
      <c r="S58" s="98" t="n">
        <v>44594</v>
      </c>
      <c r="T58" s="99" t="n">
        <f aca="false">S58+366*3</f>
        <v>45692</v>
      </c>
      <c r="U58" s="42" t="s">
        <v>1217</v>
      </c>
      <c r="V58" s="98" t="n">
        <v>45689</v>
      </c>
      <c r="W58" s="99" t="n">
        <f aca="false">SUM(V58+186)</f>
        <v>45875</v>
      </c>
      <c r="X58" s="100" t="n">
        <v>1</v>
      </c>
      <c r="Y58" s="42" t="s">
        <v>405</v>
      </c>
      <c r="Z58" s="101" t="s">
        <v>19</v>
      </c>
      <c r="AA58" s="101" t="s">
        <v>1218</v>
      </c>
      <c r="AB58" s="102" t="s">
        <v>977</v>
      </c>
      <c r="AC58" s="103" t="s">
        <v>978</v>
      </c>
    </row>
    <row r="59" customFormat="false" ht="15" hidden="false" customHeight="true" outlineLevel="0" collapsed="false">
      <c r="A59" s="46"/>
      <c r="B59" s="46" t="n">
        <v>9035</v>
      </c>
      <c r="C59" s="46" t="n">
        <v>9043</v>
      </c>
      <c r="D59" s="46"/>
      <c r="E59" s="48" t="s">
        <v>936</v>
      </c>
      <c r="F59" s="45" t="s">
        <v>1219</v>
      </c>
      <c r="G59" s="50" t="s">
        <v>1220</v>
      </c>
      <c r="H59" s="45" t="s">
        <v>729</v>
      </c>
      <c r="I59" s="45" t="s">
        <v>191</v>
      </c>
      <c r="J59" s="45" t="s">
        <v>406</v>
      </c>
      <c r="K59" s="45" t="s">
        <v>544</v>
      </c>
      <c r="L59" s="105" t="n">
        <v>1</v>
      </c>
      <c r="M59" s="105" t="n">
        <v>1</v>
      </c>
      <c r="N59" s="105" t="n">
        <v>1</v>
      </c>
      <c r="O59" s="105" t="n">
        <v>1</v>
      </c>
      <c r="P59" s="106" t="n">
        <f aca="false" t="array" ref="P59:P59">SUM(L59:O59/4)</f>
        <v>1</v>
      </c>
      <c r="Q59" s="124" t="s">
        <v>1008</v>
      </c>
      <c r="R59" s="45" t="s">
        <v>1219</v>
      </c>
      <c r="S59" s="108" t="n">
        <v>44896</v>
      </c>
      <c r="T59" s="109" t="n">
        <f aca="false">S59+366*3</f>
        <v>45994</v>
      </c>
      <c r="U59" s="50" t="s">
        <v>1221</v>
      </c>
      <c r="V59" s="108" t="n">
        <v>45689</v>
      </c>
      <c r="W59" s="109" t="n">
        <f aca="false">SUM(V59+186)</f>
        <v>45875</v>
      </c>
      <c r="X59" s="110" t="n">
        <v>1</v>
      </c>
      <c r="Y59" s="46" t="s">
        <v>1222</v>
      </c>
      <c r="Z59" s="111" t="s">
        <v>19</v>
      </c>
      <c r="AA59" s="30" t="s">
        <v>1223</v>
      </c>
      <c r="AB59" s="112" t="s">
        <v>977</v>
      </c>
      <c r="AC59" s="113" t="s">
        <v>978</v>
      </c>
    </row>
    <row r="60" customFormat="false" ht="15" hidden="false" customHeight="true" outlineLevel="0" collapsed="false">
      <c r="A60" s="40" t="s">
        <v>1013</v>
      </c>
      <c r="B60" s="128" t="n">
        <v>9036</v>
      </c>
      <c r="C60" s="130" t="n">
        <v>9024</v>
      </c>
      <c r="D60" s="130" t="s">
        <v>1073</v>
      </c>
      <c r="E60" s="94" t="s">
        <v>1224</v>
      </c>
      <c r="F60" s="39" t="s">
        <v>1225</v>
      </c>
      <c r="G60" s="42" t="s">
        <v>987</v>
      </c>
      <c r="H60" s="95" t="s">
        <v>731</v>
      </c>
      <c r="I60" s="39" t="s">
        <v>198</v>
      </c>
      <c r="J60" s="39" t="s">
        <v>411</v>
      </c>
      <c r="K60" s="39" t="s">
        <v>549</v>
      </c>
      <c r="L60" s="96" t="n">
        <v>1</v>
      </c>
      <c r="M60" s="96" t="n">
        <v>1</v>
      </c>
      <c r="N60" s="96" t="n">
        <v>1</v>
      </c>
      <c r="O60" s="96" t="n">
        <v>1</v>
      </c>
      <c r="P60" s="97" t="n">
        <f aca="false" t="array" ref="P60:P60">SUM(L60:O60/4)</f>
        <v>1</v>
      </c>
      <c r="Q60" s="118" t="s">
        <v>1008</v>
      </c>
      <c r="R60" s="39" t="s">
        <v>1225</v>
      </c>
      <c r="S60" s="98" t="n">
        <v>44594</v>
      </c>
      <c r="T60" s="99" t="n">
        <f aca="false">S60+366*3</f>
        <v>45692</v>
      </c>
      <c r="U60" s="42" t="s">
        <v>1226</v>
      </c>
      <c r="V60" s="98" t="n">
        <v>45689</v>
      </c>
      <c r="W60" s="99" t="n">
        <f aca="false">SUM(V60+186)</f>
        <v>45875</v>
      </c>
      <c r="X60" s="100" t="n">
        <v>1</v>
      </c>
      <c r="Y60" s="42" t="s">
        <v>199</v>
      </c>
      <c r="Z60" s="101" t="s">
        <v>19</v>
      </c>
      <c r="AA60" s="101" t="s">
        <v>1227</v>
      </c>
      <c r="AB60" s="102" t="s">
        <v>977</v>
      </c>
      <c r="AC60" s="103" t="s">
        <v>978</v>
      </c>
    </row>
    <row r="61" customFormat="false" ht="15" hidden="false" customHeight="true" outlineLevel="0" collapsed="false">
      <c r="A61" s="46" t="n">
        <v>43</v>
      </c>
      <c r="B61" s="129" t="n">
        <v>9075</v>
      </c>
      <c r="C61" s="46" t="s">
        <v>1228</v>
      </c>
      <c r="D61" s="129" t="s">
        <v>1229</v>
      </c>
      <c r="E61" s="48" t="s">
        <v>1230</v>
      </c>
      <c r="F61" s="45" t="s">
        <v>1231</v>
      </c>
      <c r="G61" s="50" t="s">
        <v>987</v>
      </c>
      <c r="H61" s="45" t="s">
        <v>732</v>
      </c>
      <c r="I61" s="45" t="s">
        <v>202</v>
      </c>
      <c r="J61" s="45" t="s">
        <v>414</v>
      </c>
      <c r="K61" s="48" t="s">
        <v>551</v>
      </c>
      <c r="L61" s="105" t="n">
        <v>1</v>
      </c>
      <c r="M61" s="105" t="n">
        <v>1</v>
      </c>
      <c r="N61" s="105" t="n">
        <v>1</v>
      </c>
      <c r="O61" s="105" t="n">
        <v>1</v>
      </c>
      <c r="P61" s="106" t="n">
        <f aca="false" t="array" ref="P61:P61">SUM(L61:O61/4)</f>
        <v>1</v>
      </c>
      <c r="Q61" s="124" t="s">
        <v>1008</v>
      </c>
      <c r="R61" s="45" t="s">
        <v>1231</v>
      </c>
      <c r="S61" s="108" t="n">
        <v>44379</v>
      </c>
      <c r="T61" s="109" t="n">
        <f aca="false">S61+366*3</f>
        <v>45477</v>
      </c>
      <c r="U61" s="50" t="s">
        <v>1232</v>
      </c>
      <c r="V61" s="108" t="n">
        <v>45689</v>
      </c>
      <c r="W61" s="109" t="n">
        <f aca="false">SUM(V61+186)</f>
        <v>45875</v>
      </c>
      <c r="X61" s="110" t="n">
        <v>1</v>
      </c>
      <c r="Y61" s="151" t="s">
        <v>203</v>
      </c>
      <c r="Z61" s="111" t="s">
        <v>19</v>
      </c>
      <c r="AA61" s="30" t="s">
        <v>1233</v>
      </c>
      <c r="AB61" s="112" t="s">
        <v>977</v>
      </c>
      <c r="AC61" s="113" t="s">
        <v>978</v>
      </c>
    </row>
    <row r="62" customFormat="false" ht="15" hidden="false" customHeight="true" outlineLevel="0" collapsed="false">
      <c r="A62" s="40" t="n">
        <v>14</v>
      </c>
      <c r="B62" s="130" t="n">
        <v>9008</v>
      </c>
      <c r="C62" s="130" t="n">
        <v>9014</v>
      </c>
      <c r="D62" s="130" t="s">
        <v>1096</v>
      </c>
      <c r="E62" s="94" t="s">
        <v>1234</v>
      </c>
      <c r="F62" s="39" t="s">
        <v>1235</v>
      </c>
      <c r="G62" s="42" t="s">
        <v>987</v>
      </c>
      <c r="H62" s="95" t="s">
        <v>733</v>
      </c>
      <c r="I62" s="39" t="s">
        <v>206</v>
      </c>
      <c r="J62" s="39" t="s">
        <v>416</v>
      </c>
      <c r="K62" s="39" t="s">
        <v>552</v>
      </c>
      <c r="L62" s="96" t="n">
        <v>1</v>
      </c>
      <c r="M62" s="96" t="n">
        <v>1</v>
      </c>
      <c r="N62" s="96" t="n">
        <v>1</v>
      </c>
      <c r="O62" s="96" t="n">
        <v>1</v>
      </c>
      <c r="P62" s="97" t="n">
        <f aca="false" t="array" ref="P62:P62">SUM(L62:O62/4)</f>
        <v>1</v>
      </c>
      <c r="Q62" s="97" t="n">
        <v>1</v>
      </c>
      <c r="R62" s="28" t="s">
        <v>988</v>
      </c>
      <c r="S62" s="98"/>
      <c r="T62" s="98"/>
      <c r="U62" s="40" t="s">
        <v>988</v>
      </c>
      <c r="V62" s="40" t="s">
        <v>988</v>
      </c>
      <c r="W62" s="141"/>
      <c r="X62" s="152" t="s">
        <v>988</v>
      </c>
      <c r="Y62" s="40" t="s">
        <v>207</v>
      </c>
      <c r="Z62" s="115" t="s">
        <v>5</v>
      </c>
      <c r="AA62" s="153"/>
      <c r="AB62" s="102" t="s">
        <v>977</v>
      </c>
      <c r="AC62" s="103" t="s">
        <v>1236</v>
      </c>
    </row>
    <row r="63" customFormat="false" ht="15" hidden="false" customHeight="true" outlineLevel="0" collapsed="false">
      <c r="A63" s="46" t="n">
        <v>13</v>
      </c>
      <c r="B63" s="46" t="n">
        <v>9007</v>
      </c>
      <c r="C63" s="46" t="n">
        <v>9013</v>
      </c>
      <c r="D63" s="46"/>
      <c r="E63" s="48" t="s">
        <v>212</v>
      </c>
      <c r="F63" s="52" t="s">
        <v>1237</v>
      </c>
      <c r="G63" s="50" t="s">
        <v>987</v>
      </c>
      <c r="H63" s="45" t="s">
        <v>670</v>
      </c>
      <c r="I63" s="45" t="s">
        <v>210</v>
      </c>
      <c r="J63" s="45" t="s">
        <v>417</v>
      </c>
      <c r="K63" s="45" t="s">
        <v>553</v>
      </c>
      <c r="L63" s="105" t="n">
        <v>1</v>
      </c>
      <c r="M63" s="105" t="n">
        <v>1</v>
      </c>
      <c r="N63" s="105" t="n">
        <v>1</v>
      </c>
      <c r="O63" s="105" t="n">
        <v>1</v>
      </c>
      <c r="P63" s="106" t="n">
        <f aca="false" t="array" ref="P63:P63">SUM(L63:O63/4)</f>
        <v>1</v>
      </c>
      <c r="Q63" s="124" t="s">
        <v>1008</v>
      </c>
      <c r="R63" s="52" t="s">
        <v>1237</v>
      </c>
      <c r="S63" s="108" t="n">
        <v>44867</v>
      </c>
      <c r="T63" s="109" t="n">
        <f aca="false">S63+366*3</f>
        <v>45965</v>
      </c>
      <c r="U63" s="50" t="s">
        <v>1238</v>
      </c>
      <c r="V63" s="108" t="n">
        <v>45689</v>
      </c>
      <c r="W63" s="109" t="n">
        <f aca="false">SUM(V63+186)</f>
        <v>45875</v>
      </c>
      <c r="X63" s="110" t="n">
        <v>1</v>
      </c>
      <c r="Y63" s="50" t="s">
        <v>211</v>
      </c>
      <c r="Z63" s="111" t="s">
        <v>19</v>
      </c>
      <c r="AA63" s="30" t="s">
        <v>1239</v>
      </c>
      <c r="AB63" s="112" t="s">
        <v>977</v>
      </c>
      <c r="AC63" s="113" t="s">
        <v>978</v>
      </c>
    </row>
    <row r="64" customFormat="false" ht="15" hidden="false" customHeight="true" outlineLevel="0" collapsed="false">
      <c r="A64" s="40" t="s">
        <v>1013</v>
      </c>
      <c r="B64" s="130" t="n">
        <v>9050</v>
      </c>
      <c r="C64" s="130" t="s">
        <v>1228</v>
      </c>
      <c r="D64" s="128" t="s">
        <v>221</v>
      </c>
      <c r="E64" s="94" t="s">
        <v>221</v>
      </c>
      <c r="F64" s="39" t="s">
        <v>1240</v>
      </c>
      <c r="G64" s="42" t="s">
        <v>987</v>
      </c>
      <c r="H64" s="95" t="s">
        <v>738</v>
      </c>
      <c r="I64" s="39" t="s">
        <v>220</v>
      </c>
      <c r="J64" s="60" t="s">
        <v>422</v>
      </c>
      <c r="K64" s="39" t="s">
        <v>559</v>
      </c>
      <c r="L64" s="96" t="n">
        <v>1</v>
      </c>
      <c r="M64" s="96" t="n">
        <v>1</v>
      </c>
      <c r="N64" s="96" t="n">
        <v>1</v>
      </c>
      <c r="O64" s="96" t="n">
        <v>1</v>
      </c>
      <c r="P64" s="97" t="n">
        <f aca="false" t="array" ref="P64:P64">SUM(L64:O64/4)</f>
        <v>1</v>
      </c>
      <c r="Q64" s="118" t="s">
        <v>1008</v>
      </c>
      <c r="R64" s="39" t="s">
        <v>1240</v>
      </c>
      <c r="S64" s="98" t="n">
        <v>44805</v>
      </c>
      <c r="T64" s="99" t="n">
        <f aca="false">S64+366*3</f>
        <v>45903</v>
      </c>
      <c r="U64" s="42" t="s">
        <v>1241</v>
      </c>
      <c r="V64" s="98" t="n">
        <v>45689</v>
      </c>
      <c r="W64" s="99" t="n">
        <f aca="false">SUM(V64+186)</f>
        <v>45875</v>
      </c>
      <c r="X64" s="100" t="n">
        <v>1</v>
      </c>
      <c r="Y64" s="40" t="s">
        <v>1242</v>
      </c>
      <c r="Z64" s="101" t="s">
        <v>19</v>
      </c>
      <c r="AA64" s="101" t="s">
        <v>1243</v>
      </c>
      <c r="AB64" s="102" t="s">
        <v>977</v>
      </c>
      <c r="AC64" s="103" t="s">
        <v>978</v>
      </c>
    </row>
    <row r="65" customFormat="false" ht="15" hidden="false" customHeight="true" outlineLevel="0" collapsed="false">
      <c r="A65" s="46" t="n">
        <v>45</v>
      </c>
      <c r="B65" s="46" t="n">
        <v>9016</v>
      </c>
      <c r="C65" s="46" t="n">
        <v>9045</v>
      </c>
      <c r="D65" s="46"/>
      <c r="E65" s="48" t="s">
        <v>1244</v>
      </c>
      <c r="F65" s="45" t="s">
        <v>1245</v>
      </c>
      <c r="G65" s="50" t="s">
        <v>987</v>
      </c>
      <c r="H65" s="45" t="s">
        <v>741</v>
      </c>
      <c r="I65" s="45" t="s">
        <v>225</v>
      </c>
      <c r="J65" s="45" t="s">
        <v>427</v>
      </c>
      <c r="K65" s="45" t="s">
        <v>561</v>
      </c>
      <c r="L65" s="105" t="n">
        <v>1</v>
      </c>
      <c r="M65" s="105" t="n">
        <v>1</v>
      </c>
      <c r="N65" s="105" t="n">
        <v>1</v>
      </c>
      <c r="O65" s="105" t="n">
        <v>1</v>
      </c>
      <c r="P65" s="106" t="n">
        <f aca="false" t="array" ref="P65:P65">SUM(L65:O65/4)</f>
        <v>1</v>
      </c>
      <c r="Q65" s="124" t="s">
        <v>1008</v>
      </c>
      <c r="R65" s="45" t="s">
        <v>1245</v>
      </c>
      <c r="S65" s="108" t="n">
        <v>45292</v>
      </c>
      <c r="T65" s="108" t="n">
        <f aca="false">S65+366*3</f>
        <v>46390</v>
      </c>
      <c r="U65" s="50" t="s">
        <v>1246</v>
      </c>
      <c r="V65" s="108" t="n">
        <v>45689</v>
      </c>
      <c r="W65" s="109" t="n">
        <f aca="false">SUM(V65+186)</f>
        <v>45875</v>
      </c>
      <c r="X65" s="127" t="n">
        <v>0</v>
      </c>
      <c r="Y65" s="46" t="s">
        <v>226</v>
      </c>
      <c r="Z65" s="111" t="s">
        <v>19</v>
      </c>
      <c r="AA65" s="30" t="s">
        <v>1247</v>
      </c>
      <c r="AB65" s="112" t="s">
        <v>977</v>
      </c>
      <c r="AC65" s="113" t="s">
        <v>978</v>
      </c>
    </row>
    <row r="66" customFormat="false" ht="15" hidden="false" customHeight="true" outlineLevel="0" collapsed="false">
      <c r="A66" s="40" t="s">
        <v>1248</v>
      </c>
      <c r="B66" s="130" t="n">
        <v>7001</v>
      </c>
      <c r="C66" s="130" t="n">
        <v>9025</v>
      </c>
      <c r="D66" s="93" t="s">
        <v>1047</v>
      </c>
      <c r="E66" s="94" t="s">
        <v>1249</v>
      </c>
      <c r="F66" s="39" t="s">
        <v>1250</v>
      </c>
      <c r="G66" s="42" t="s">
        <v>987</v>
      </c>
      <c r="H66" s="95" t="s">
        <v>744</v>
      </c>
      <c r="I66" s="39" t="s">
        <v>236</v>
      </c>
      <c r="J66" s="39" t="s">
        <v>431</v>
      </c>
      <c r="K66" s="39" t="s">
        <v>565</v>
      </c>
      <c r="L66" s="96" t="n">
        <v>1</v>
      </c>
      <c r="M66" s="96" t="n">
        <v>1</v>
      </c>
      <c r="N66" s="96" t="n">
        <v>1</v>
      </c>
      <c r="O66" s="96" t="n">
        <v>1</v>
      </c>
      <c r="P66" s="97" t="n">
        <f aca="false" t="array" ref="P66:P66">SUM(L66:O66/4)</f>
        <v>1</v>
      </c>
      <c r="Q66" s="118" t="s">
        <v>1008</v>
      </c>
      <c r="R66" s="39" t="s">
        <v>1250</v>
      </c>
      <c r="S66" s="98" t="n">
        <v>44594</v>
      </c>
      <c r="T66" s="99" t="n">
        <f aca="false">S66+366*3</f>
        <v>45692</v>
      </c>
      <c r="U66" s="42" t="s">
        <v>1251</v>
      </c>
      <c r="V66" s="98" t="n">
        <v>45689</v>
      </c>
      <c r="W66" s="99" t="n">
        <f aca="false">SUM(V66+186)</f>
        <v>45875</v>
      </c>
      <c r="X66" s="100" t="n">
        <v>1</v>
      </c>
      <c r="Y66" s="40" t="s">
        <v>237</v>
      </c>
      <c r="Z66" s="101" t="s">
        <v>19</v>
      </c>
      <c r="AA66" s="101" t="s">
        <v>1252</v>
      </c>
      <c r="AB66" s="102" t="s">
        <v>977</v>
      </c>
      <c r="AC66" s="103" t="s">
        <v>978</v>
      </c>
    </row>
    <row r="67" customFormat="false" ht="15" hidden="false" customHeight="true" outlineLevel="0" collapsed="false">
      <c r="A67" s="46" t="n">
        <v>19</v>
      </c>
      <c r="B67" s="46" t="n">
        <v>9013</v>
      </c>
      <c r="C67" s="46" t="n">
        <v>9019</v>
      </c>
      <c r="D67" s="46"/>
      <c r="E67" s="48" t="s">
        <v>242</v>
      </c>
      <c r="F67" s="45" t="s">
        <v>1253</v>
      </c>
      <c r="G67" s="50" t="s">
        <v>987</v>
      </c>
      <c r="H67" s="45" t="s">
        <v>746</v>
      </c>
      <c r="I67" s="45" t="s">
        <v>240</v>
      </c>
      <c r="J67" s="45" t="s">
        <v>434</v>
      </c>
      <c r="K67" s="45" t="s">
        <v>566</v>
      </c>
      <c r="L67" s="105" t="n">
        <v>1</v>
      </c>
      <c r="M67" s="105" t="n">
        <v>1</v>
      </c>
      <c r="N67" s="105" t="n">
        <v>1</v>
      </c>
      <c r="O67" s="105" t="n">
        <v>1</v>
      </c>
      <c r="P67" s="106" t="n">
        <f aca="false" t="array" ref="P67:P67">SUM(L67:O67/4)</f>
        <v>1</v>
      </c>
      <c r="Q67" s="124" t="s">
        <v>1008</v>
      </c>
      <c r="R67" s="45" t="s">
        <v>1253</v>
      </c>
      <c r="S67" s="108" t="n">
        <v>44744</v>
      </c>
      <c r="T67" s="109" t="n">
        <f aca="false">S67+366*3</f>
        <v>45842</v>
      </c>
      <c r="U67" s="50" t="s">
        <v>1254</v>
      </c>
      <c r="V67" s="108" t="n">
        <v>45689</v>
      </c>
      <c r="W67" s="109" t="n">
        <f aca="false">SUM(V67+186)</f>
        <v>45875</v>
      </c>
      <c r="X67" s="110" t="n">
        <v>1</v>
      </c>
      <c r="Y67" s="46" t="s">
        <v>241</v>
      </c>
      <c r="Z67" s="111" t="s">
        <v>19</v>
      </c>
      <c r="AA67" s="30" t="s">
        <v>1255</v>
      </c>
      <c r="AB67" s="112" t="s">
        <v>977</v>
      </c>
      <c r="AC67" s="113" t="s">
        <v>978</v>
      </c>
    </row>
    <row r="68" customFormat="false" ht="15" hidden="false" customHeight="true" outlineLevel="0" collapsed="false">
      <c r="A68" s="40" t="n">
        <v>49</v>
      </c>
      <c r="B68" s="130" t="n">
        <v>7001</v>
      </c>
      <c r="C68" s="130" t="n">
        <v>9049</v>
      </c>
      <c r="D68" s="93" t="s">
        <v>1047</v>
      </c>
      <c r="E68" s="94" t="s">
        <v>245</v>
      </c>
      <c r="F68" s="39" t="s">
        <v>1256</v>
      </c>
      <c r="G68" s="42" t="s">
        <v>987</v>
      </c>
      <c r="H68" s="95" t="s">
        <v>747</v>
      </c>
      <c r="I68" s="39" t="s">
        <v>243</v>
      </c>
      <c r="J68" s="39" t="s">
        <v>437</v>
      </c>
      <c r="K68" s="39" t="s">
        <v>567</v>
      </c>
      <c r="L68" s="96" t="n">
        <v>1</v>
      </c>
      <c r="M68" s="96" t="n">
        <v>1</v>
      </c>
      <c r="N68" s="96" t="n">
        <v>1</v>
      </c>
      <c r="O68" s="96" t="n">
        <v>1</v>
      </c>
      <c r="P68" s="97" t="n">
        <f aca="false" t="array" ref="P68:P68">SUM(L68:O68/4)</f>
        <v>1</v>
      </c>
      <c r="Q68" s="118" t="s">
        <v>1008</v>
      </c>
      <c r="R68" s="39" t="s">
        <v>1256</v>
      </c>
      <c r="S68" s="98" t="n">
        <v>44594</v>
      </c>
      <c r="T68" s="99" t="n">
        <f aca="false">S68+366*3</f>
        <v>45692</v>
      </c>
      <c r="U68" s="42" t="s">
        <v>1257</v>
      </c>
      <c r="V68" s="98" t="n">
        <v>45689</v>
      </c>
      <c r="W68" s="99" t="n">
        <f aca="false">SUM(V68+186)</f>
        <v>45875</v>
      </c>
      <c r="X68" s="100" t="n">
        <v>1</v>
      </c>
      <c r="Y68" s="42" t="s">
        <v>244</v>
      </c>
      <c r="Z68" s="101" t="s">
        <v>19</v>
      </c>
      <c r="AA68" s="101" t="s">
        <v>1258</v>
      </c>
      <c r="AB68" s="102" t="s">
        <v>977</v>
      </c>
      <c r="AC68" s="103" t="s">
        <v>978</v>
      </c>
    </row>
    <row r="69" customFormat="false" ht="15" hidden="false" customHeight="true" outlineLevel="0" collapsed="false">
      <c r="A69" s="50" t="n">
        <v>14</v>
      </c>
      <c r="B69" s="50" t="n">
        <v>9008</v>
      </c>
      <c r="C69" s="50" t="n">
        <v>9014</v>
      </c>
      <c r="D69" s="46" t="s">
        <v>1096</v>
      </c>
      <c r="E69" s="48" t="s">
        <v>248</v>
      </c>
      <c r="F69" s="45" t="s">
        <v>1259</v>
      </c>
      <c r="G69" s="50" t="s">
        <v>987</v>
      </c>
      <c r="H69" s="45" t="s">
        <v>751</v>
      </c>
      <c r="I69" s="45" t="s">
        <v>247</v>
      </c>
      <c r="J69" s="45" t="s">
        <v>438</v>
      </c>
      <c r="K69" s="45" t="s">
        <v>568</v>
      </c>
      <c r="L69" s="105" t="n">
        <v>1</v>
      </c>
      <c r="M69" s="105" t="n">
        <v>1</v>
      </c>
      <c r="N69" s="105" t="n">
        <v>1</v>
      </c>
      <c r="O69" s="105" t="n">
        <v>1</v>
      </c>
      <c r="P69" s="106" t="n">
        <f aca="false" t="array" ref="P69:P69">SUM(L69:O69/4)</f>
        <v>1</v>
      </c>
      <c r="Q69" s="124" t="s">
        <v>1008</v>
      </c>
      <c r="R69" s="45" t="s">
        <v>1259</v>
      </c>
      <c r="S69" s="108" t="n">
        <v>44594</v>
      </c>
      <c r="T69" s="109" t="n">
        <f aca="false">S69+366*3</f>
        <v>45692</v>
      </c>
      <c r="U69" s="50" t="s">
        <v>1260</v>
      </c>
      <c r="V69" s="108" t="n">
        <v>45689</v>
      </c>
      <c r="W69" s="109" t="n">
        <f aca="false">SUM(V69+186)</f>
        <v>45875</v>
      </c>
      <c r="X69" s="110" t="n">
        <v>1</v>
      </c>
      <c r="Y69" s="50" t="s">
        <v>1261</v>
      </c>
      <c r="Z69" s="111" t="s">
        <v>19</v>
      </c>
      <c r="AA69" s="30" t="s">
        <v>1262</v>
      </c>
      <c r="AB69" s="112" t="s">
        <v>977</v>
      </c>
      <c r="AC69" s="113" t="s">
        <v>978</v>
      </c>
    </row>
    <row r="70" customFormat="false" ht="15" hidden="false" customHeight="true" outlineLevel="0" collapsed="false">
      <c r="A70" s="42" t="s">
        <v>1248</v>
      </c>
      <c r="B70" s="128" t="n">
        <v>9077</v>
      </c>
      <c r="C70" s="130" t="s">
        <v>1228</v>
      </c>
      <c r="D70" s="128" t="s">
        <v>1263</v>
      </c>
      <c r="E70" s="94" t="s">
        <v>1263</v>
      </c>
      <c r="F70" s="39" t="s">
        <v>1264</v>
      </c>
      <c r="G70" s="42" t="s">
        <v>1265</v>
      </c>
      <c r="H70" s="95" t="s">
        <v>748</v>
      </c>
      <c r="I70" s="39" t="s">
        <v>250</v>
      </c>
      <c r="J70" s="39" t="s">
        <v>439</v>
      </c>
      <c r="K70" s="39" t="s">
        <v>569</v>
      </c>
      <c r="L70" s="96" t="n">
        <v>1</v>
      </c>
      <c r="M70" s="96" t="n">
        <v>1</v>
      </c>
      <c r="N70" s="96" t="n">
        <v>1</v>
      </c>
      <c r="O70" s="96" t="n">
        <v>1</v>
      </c>
      <c r="P70" s="97" t="n">
        <f aca="false" t="array" ref="P70:P70">SUM(L70:O70/4)</f>
        <v>1</v>
      </c>
      <c r="Q70" s="118" t="s">
        <v>1008</v>
      </c>
      <c r="R70" s="39" t="s">
        <v>1264</v>
      </c>
      <c r="S70" s="98" t="n">
        <v>45353</v>
      </c>
      <c r="T70" s="98" t="n">
        <f aca="false">S70+366*3</f>
        <v>46451</v>
      </c>
      <c r="U70" s="42" t="s">
        <v>1266</v>
      </c>
      <c r="V70" s="98" t="n">
        <v>45689</v>
      </c>
      <c r="W70" s="99" t="n">
        <f aca="false">SUM(V70+186)</f>
        <v>45875</v>
      </c>
      <c r="X70" s="100" t="n">
        <v>1</v>
      </c>
      <c r="Y70" s="42" t="s">
        <v>1265</v>
      </c>
      <c r="Z70" s="101" t="s">
        <v>19</v>
      </c>
      <c r="AA70" s="101" t="s">
        <v>1267</v>
      </c>
      <c r="AB70" s="102" t="s">
        <v>977</v>
      </c>
      <c r="AC70" s="103" t="s">
        <v>978</v>
      </c>
    </row>
    <row r="71" customFormat="false" ht="15" hidden="false" customHeight="true" outlineLevel="0" collapsed="false">
      <c r="A71" s="46"/>
      <c r="B71" s="46" t="n">
        <v>9025</v>
      </c>
      <c r="C71" s="46" t="n">
        <v>9033</v>
      </c>
      <c r="D71" s="46" t="s">
        <v>1131</v>
      </c>
      <c r="E71" s="48" t="s">
        <v>1268</v>
      </c>
      <c r="F71" s="50" t="s">
        <v>987</v>
      </c>
      <c r="G71" s="50" t="s">
        <v>987</v>
      </c>
      <c r="H71" s="45" t="s">
        <v>630</v>
      </c>
      <c r="I71" s="45" t="s">
        <v>149</v>
      </c>
      <c r="J71" s="45" t="s">
        <v>388</v>
      </c>
      <c r="K71" s="45" t="s">
        <v>531</v>
      </c>
      <c r="L71" s="105" t="n">
        <v>1</v>
      </c>
      <c r="M71" s="105" t="n">
        <v>1</v>
      </c>
      <c r="N71" s="105" t="n">
        <v>1</v>
      </c>
      <c r="O71" s="105" t="n">
        <v>1</v>
      </c>
      <c r="P71" s="106" t="n">
        <v>1</v>
      </c>
      <c r="Q71" s="124" t="s">
        <v>1008</v>
      </c>
      <c r="R71" s="45" t="s">
        <v>1269</v>
      </c>
      <c r="S71" s="108" t="n">
        <v>44959</v>
      </c>
      <c r="T71" s="108" t="n">
        <f aca="false">S71+366*3</f>
        <v>46057</v>
      </c>
      <c r="U71" s="50" t="s">
        <v>1270</v>
      </c>
      <c r="V71" s="108" t="n">
        <v>45689</v>
      </c>
      <c r="W71" s="109" t="n">
        <f aca="false">SUM(V71+186)</f>
        <v>45875</v>
      </c>
      <c r="X71" s="127" t="n">
        <v>0</v>
      </c>
      <c r="Y71" s="46" t="s">
        <v>988</v>
      </c>
      <c r="Z71" s="111" t="s">
        <v>19</v>
      </c>
      <c r="AA71" s="150" t="s">
        <v>1173</v>
      </c>
      <c r="AB71" s="112" t="s">
        <v>977</v>
      </c>
      <c r="AC71" s="113" t="s">
        <v>978</v>
      </c>
    </row>
    <row r="72" customFormat="false" ht="15" hidden="false" customHeight="true" outlineLevel="0" collapsed="false">
      <c r="A72" s="40"/>
      <c r="B72" s="130" t="n">
        <v>9039</v>
      </c>
      <c r="C72" s="130" t="n">
        <v>9047</v>
      </c>
      <c r="D72" s="130"/>
      <c r="E72" s="94" t="s">
        <v>1271</v>
      </c>
      <c r="F72" s="39" t="s">
        <v>1272</v>
      </c>
      <c r="G72" s="28" t="s">
        <v>988</v>
      </c>
      <c r="H72" s="95" t="s">
        <v>755</v>
      </c>
      <c r="I72" s="39" t="s">
        <v>277</v>
      </c>
      <c r="J72" s="39" t="s">
        <v>446</v>
      </c>
      <c r="K72" s="39" t="s">
        <v>579</v>
      </c>
      <c r="L72" s="96" t="n">
        <v>1</v>
      </c>
      <c r="M72" s="96" t="n">
        <v>1</v>
      </c>
      <c r="N72" s="96" t="n">
        <v>1</v>
      </c>
      <c r="O72" s="96" t="n">
        <v>1</v>
      </c>
      <c r="P72" s="97" t="n">
        <f aca="false" t="array" ref="P72:P72">SUM(L72:O72/4)</f>
        <v>1</v>
      </c>
      <c r="Q72" s="118" t="s">
        <v>1008</v>
      </c>
      <c r="R72" s="39" t="s">
        <v>1272</v>
      </c>
      <c r="S72" s="98" t="n">
        <v>45505</v>
      </c>
      <c r="T72" s="98" t="n">
        <f aca="false">S72+366*3</f>
        <v>46603</v>
      </c>
      <c r="U72" s="42" t="s">
        <v>1273</v>
      </c>
      <c r="V72" s="98" t="n">
        <v>45689</v>
      </c>
      <c r="W72" s="99" t="n">
        <f aca="false">SUM(V72+186)</f>
        <v>45875</v>
      </c>
      <c r="X72" s="40" t="s">
        <v>988</v>
      </c>
      <c r="Y72" s="40" t="s">
        <v>1274</v>
      </c>
      <c r="Z72" s="101" t="s">
        <v>19</v>
      </c>
      <c r="AA72" s="116" t="s">
        <v>1275</v>
      </c>
      <c r="AB72" s="27"/>
      <c r="AC72" s="103" t="s">
        <v>978</v>
      </c>
    </row>
    <row r="73" customFormat="false" ht="15" hidden="false" customHeight="true" outlineLevel="0" collapsed="false">
      <c r="A73" s="46" t="s">
        <v>1013</v>
      </c>
      <c r="B73" s="46" t="n">
        <v>7001</v>
      </c>
      <c r="C73" s="46" t="n">
        <v>9034</v>
      </c>
      <c r="D73" s="104" t="s">
        <v>1047</v>
      </c>
      <c r="E73" s="48" t="s">
        <v>453</v>
      </c>
      <c r="F73" s="45" t="s">
        <v>1276</v>
      </c>
      <c r="G73" s="50" t="s">
        <v>987</v>
      </c>
      <c r="H73" s="45" t="s">
        <v>762</v>
      </c>
      <c r="I73" s="45" t="s">
        <v>284</v>
      </c>
      <c r="J73" s="45" t="s">
        <v>452</v>
      </c>
      <c r="K73" s="45" t="s">
        <v>584</v>
      </c>
      <c r="L73" s="105" t="n">
        <v>1</v>
      </c>
      <c r="M73" s="105" t="n">
        <v>1</v>
      </c>
      <c r="N73" s="105" t="n">
        <v>1</v>
      </c>
      <c r="O73" s="105" t="n">
        <v>1</v>
      </c>
      <c r="P73" s="106" t="n">
        <f aca="false" t="array" ref="P73:P73">SUM(L73:O73/4)</f>
        <v>1</v>
      </c>
      <c r="Q73" s="124" t="s">
        <v>1008</v>
      </c>
      <c r="R73" s="45" t="s">
        <v>1276</v>
      </c>
      <c r="S73" s="108" t="n">
        <v>44806</v>
      </c>
      <c r="T73" s="109" t="n">
        <f aca="false">S73+366*3</f>
        <v>45904</v>
      </c>
      <c r="U73" s="50" t="s">
        <v>1277</v>
      </c>
      <c r="V73" s="108" t="n">
        <v>45689</v>
      </c>
      <c r="W73" s="109" t="n">
        <f aca="false">SUM(V73+186)</f>
        <v>45875</v>
      </c>
      <c r="X73" s="127" t="n">
        <v>0</v>
      </c>
      <c r="Y73" s="50" t="s">
        <v>1278</v>
      </c>
      <c r="Z73" s="111" t="s">
        <v>19</v>
      </c>
      <c r="AA73" s="30" t="s">
        <v>1279</v>
      </c>
      <c r="AB73" s="112" t="s">
        <v>977</v>
      </c>
      <c r="AC73" s="113" t="s">
        <v>978</v>
      </c>
    </row>
    <row r="74" customFormat="false" ht="15" hidden="false" customHeight="true" outlineLevel="0" collapsed="false">
      <c r="A74" s="40"/>
      <c r="B74" s="130" t="n">
        <v>9008</v>
      </c>
      <c r="C74" s="130" t="n">
        <v>9014</v>
      </c>
      <c r="D74" s="130" t="s">
        <v>1096</v>
      </c>
      <c r="E74" s="94" t="s">
        <v>1280</v>
      </c>
      <c r="F74" s="39" t="s">
        <v>1281</v>
      </c>
      <c r="G74" s="42" t="s">
        <v>987</v>
      </c>
      <c r="H74" s="95" t="s">
        <v>758</v>
      </c>
      <c r="I74" s="39" t="s">
        <v>286</v>
      </c>
      <c r="J74" s="39" t="s">
        <v>448</v>
      </c>
      <c r="K74" s="39" t="s">
        <v>580</v>
      </c>
      <c r="L74" s="96" t="n">
        <v>1</v>
      </c>
      <c r="M74" s="96" t="n">
        <v>1</v>
      </c>
      <c r="N74" s="96" t="n">
        <v>1</v>
      </c>
      <c r="O74" s="96" t="n">
        <v>1</v>
      </c>
      <c r="P74" s="97" t="n">
        <f aca="false" t="array" ref="P74:P74">SUM(L74:O74/4)</f>
        <v>1</v>
      </c>
      <c r="Q74" s="118" t="s">
        <v>1008</v>
      </c>
      <c r="R74" s="39" t="s">
        <v>1282</v>
      </c>
      <c r="S74" s="98" t="n">
        <v>45079</v>
      </c>
      <c r="T74" s="98" t="n">
        <f aca="false">S74+366*3</f>
        <v>46177</v>
      </c>
      <c r="U74" s="42" t="s">
        <v>1283</v>
      </c>
      <c r="V74" s="98" t="n">
        <v>45689</v>
      </c>
      <c r="W74" s="99" t="n">
        <f aca="false">SUM(V74+186)</f>
        <v>45875</v>
      </c>
      <c r="X74" s="100" t="n">
        <v>1</v>
      </c>
      <c r="Y74" s="42" t="s">
        <v>287</v>
      </c>
      <c r="Z74" s="101" t="s">
        <v>19</v>
      </c>
      <c r="AA74" s="101" t="s">
        <v>1284</v>
      </c>
      <c r="AB74" s="102" t="s">
        <v>977</v>
      </c>
      <c r="AC74" s="103" t="s">
        <v>978</v>
      </c>
    </row>
    <row r="75" customFormat="false" ht="15" hidden="false" customHeight="true" outlineLevel="0" collapsed="false">
      <c r="A75" s="46" t="s">
        <v>1013</v>
      </c>
      <c r="B75" s="46" t="n">
        <v>9012</v>
      </c>
      <c r="C75" s="46" t="n">
        <v>9018</v>
      </c>
      <c r="D75" s="46" t="s">
        <v>1285</v>
      </c>
      <c r="E75" s="48" t="s">
        <v>304</v>
      </c>
      <c r="F75" s="45" t="s">
        <v>1286</v>
      </c>
      <c r="G75" s="50" t="s">
        <v>987</v>
      </c>
      <c r="H75" s="45" t="s">
        <v>765</v>
      </c>
      <c r="I75" s="45" t="s">
        <v>303</v>
      </c>
      <c r="J75" s="45" t="s">
        <v>462</v>
      </c>
      <c r="K75" s="45" t="s">
        <v>587</v>
      </c>
      <c r="L75" s="105" t="n">
        <v>1</v>
      </c>
      <c r="M75" s="105" t="n">
        <v>1</v>
      </c>
      <c r="N75" s="105" t="n">
        <v>1</v>
      </c>
      <c r="O75" s="105" t="n">
        <v>1</v>
      </c>
      <c r="P75" s="106" t="n">
        <f aca="false" t="array" ref="P75:P75">SUM(L75:O75/4)</f>
        <v>1</v>
      </c>
      <c r="Q75" s="124" t="s">
        <v>1008</v>
      </c>
      <c r="R75" s="45" t="s">
        <v>1286</v>
      </c>
      <c r="S75" s="108" t="n">
        <v>44836</v>
      </c>
      <c r="T75" s="109" t="n">
        <f aca="false">S75+366*3</f>
        <v>45934</v>
      </c>
      <c r="U75" s="50" t="s">
        <v>1287</v>
      </c>
      <c r="V75" s="108" t="n">
        <v>45689</v>
      </c>
      <c r="W75" s="109" t="n">
        <f aca="false">SUM(V75+186)</f>
        <v>45875</v>
      </c>
      <c r="X75" s="110" t="n">
        <v>1</v>
      </c>
      <c r="Y75" s="46" t="s">
        <v>1288</v>
      </c>
      <c r="Z75" s="111" t="s">
        <v>19</v>
      </c>
      <c r="AA75" s="30" t="s">
        <v>1289</v>
      </c>
      <c r="AB75" s="112" t="s">
        <v>977</v>
      </c>
      <c r="AC75" s="113" t="s">
        <v>978</v>
      </c>
    </row>
    <row r="76" customFormat="false" ht="15" hidden="false" customHeight="true" outlineLevel="0" collapsed="false">
      <c r="A76" s="40"/>
      <c r="B76" s="130" t="n">
        <v>9051</v>
      </c>
      <c r="C76" s="130" t="n">
        <v>9064</v>
      </c>
      <c r="D76" s="130" t="s">
        <v>1290</v>
      </c>
      <c r="E76" s="94" t="s">
        <v>1291</v>
      </c>
      <c r="F76" s="39" t="s">
        <v>1292</v>
      </c>
      <c r="G76" s="40" t="n">
        <v>6140410</v>
      </c>
      <c r="H76" s="95" t="s">
        <v>623</v>
      </c>
      <c r="I76" s="39" t="s">
        <v>133</v>
      </c>
      <c r="J76" s="39" t="s">
        <v>379</v>
      </c>
      <c r="K76" s="39" t="s">
        <v>526</v>
      </c>
      <c r="L76" s="96" t="n">
        <v>1</v>
      </c>
      <c r="M76" s="96" t="n">
        <v>1</v>
      </c>
      <c r="N76" s="96" t="n">
        <v>1</v>
      </c>
      <c r="O76" s="96" t="n">
        <v>1</v>
      </c>
      <c r="P76" s="97" t="n">
        <f aca="false" t="array" ref="P76:P76">SUM(L76:O76/4)</f>
        <v>1</v>
      </c>
      <c r="Q76" s="118" t="s">
        <v>1008</v>
      </c>
      <c r="R76" s="39" t="s">
        <v>1293</v>
      </c>
      <c r="S76" s="98" t="n">
        <v>45474</v>
      </c>
      <c r="T76" s="98" t="n">
        <f aca="false">S76+366*3</f>
        <v>46572</v>
      </c>
      <c r="U76" s="42" t="s">
        <v>1294</v>
      </c>
      <c r="V76" s="98" t="n">
        <v>45689</v>
      </c>
      <c r="W76" s="99" t="n">
        <f aca="false">SUM(V76+186)</f>
        <v>45875</v>
      </c>
      <c r="X76" s="100" t="n">
        <v>1</v>
      </c>
      <c r="Y76" s="40" t="s">
        <v>1295</v>
      </c>
      <c r="Z76" s="101" t="s">
        <v>19</v>
      </c>
      <c r="AA76" s="101" t="s">
        <v>1296</v>
      </c>
      <c r="AB76" s="102" t="s">
        <v>977</v>
      </c>
      <c r="AC76" s="103" t="s">
        <v>978</v>
      </c>
    </row>
    <row r="77" customFormat="false" ht="15" hidden="false" customHeight="true" outlineLevel="0" collapsed="false">
      <c r="A77" s="46"/>
      <c r="B77" s="129" t="n">
        <v>9039</v>
      </c>
      <c r="C77" s="46" t="n">
        <v>9047</v>
      </c>
      <c r="D77" s="129" t="s">
        <v>1297</v>
      </c>
      <c r="E77" s="48" t="s">
        <v>1298</v>
      </c>
      <c r="F77" s="45" t="s">
        <v>1299</v>
      </c>
      <c r="G77" s="29"/>
      <c r="H77" s="45" t="s">
        <v>755</v>
      </c>
      <c r="I77" s="45" t="s">
        <v>277</v>
      </c>
      <c r="J77" s="45" t="s">
        <v>446</v>
      </c>
      <c r="K77" s="45" t="s">
        <v>579</v>
      </c>
      <c r="L77" s="105" t="n">
        <v>1</v>
      </c>
      <c r="M77" s="105" t="n">
        <v>1</v>
      </c>
      <c r="N77" s="105" t="n">
        <v>1</v>
      </c>
      <c r="O77" s="105" t="n">
        <v>1</v>
      </c>
      <c r="P77" s="106" t="n">
        <f aca="false" t="array" ref="P77:P77">SUM(L77:O77/4)</f>
        <v>1</v>
      </c>
      <c r="Q77" s="124" t="s">
        <v>1008</v>
      </c>
      <c r="R77" s="45" t="s">
        <v>1299</v>
      </c>
      <c r="S77" s="108" t="n">
        <v>45050</v>
      </c>
      <c r="T77" s="108" t="n">
        <f aca="false">S77+366*3</f>
        <v>46148</v>
      </c>
      <c r="U77" s="50" t="s">
        <v>1300</v>
      </c>
      <c r="V77" s="108" t="n">
        <v>45689</v>
      </c>
      <c r="W77" s="109" t="n">
        <f aca="false">SUM(V77+186)</f>
        <v>45875</v>
      </c>
      <c r="X77" s="110" t="n">
        <v>1</v>
      </c>
      <c r="Y77" s="46" t="s">
        <v>1274</v>
      </c>
      <c r="Z77" s="111" t="s">
        <v>19</v>
      </c>
      <c r="AA77" s="30" t="s">
        <v>1275</v>
      </c>
      <c r="AB77" s="112" t="s">
        <v>977</v>
      </c>
      <c r="AC77" s="113" t="s">
        <v>978</v>
      </c>
    </row>
    <row r="78" customFormat="false" ht="15" hidden="false" customHeight="true" outlineLevel="0" collapsed="false">
      <c r="A78" s="40"/>
      <c r="B78" s="128" t="n">
        <v>9036</v>
      </c>
      <c r="C78" s="130" t="n">
        <v>9024</v>
      </c>
      <c r="D78" s="92" t="s">
        <v>1301</v>
      </c>
      <c r="E78" s="94" t="s">
        <v>471</v>
      </c>
      <c r="F78" s="39" t="s">
        <v>1302</v>
      </c>
      <c r="G78" s="42" t="s">
        <v>987</v>
      </c>
      <c r="H78" s="95" t="s">
        <v>647</v>
      </c>
      <c r="I78" s="39" t="s">
        <v>290</v>
      </c>
      <c r="J78" s="39" t="s">
        <v>470</v>
      </c>
      <c r="K78" s="39" t="s">
        <v>592</v>
      </c>
      <c r="L78" s="96" t="n">
        <v>1</v>
      </c>
      <c r="M78" s="96" t="n">
        <v>1</v>
      </c>
      <c r="N78" s="96" t="n">
        <v>1</v>
      </c>
      <c r="O78" s="96" t="n">
        <v>1</v>
      </c>
      <c r="P78" s="97" t="n">
        <f aca="false" t="array" ref="P78:P78">SUM(L78:O78/4)</f>
        <v>1</v>
      </c>
      <c r="Q78" s="118" t="s">
        <v>1008</v>
      </c>
      <c r="R78" s="39" t="s">
        <v>1302</v>
      </c>
      <c r="S78" s="98" t="n">
        <v>45708</v>
      </c>
      <c r="T78" s="98" t="n">
        <f aca="false">S78+366*3</f>
        <v>46806</v>
      </c>
      <c r="U78" s="42" t="s">
        <v>1303</v>
      </c>
      <c r="V78" s="98" t="n">
        <v>45708</v>
      </c>
      <c r="W78" s="99" t="n">
        <f aca="false">SUM(V78+186)</f>
        <v>45894</v>
      </c>
      <c r="X78" s="123" t="n">
        <v>0</v>
      </c>
      <c r="Y78" s="40" t="s">
        <v>1304</v>
      </c>
      <c r="Z78" s="101" t="s">
        <v>19</v>
      </c>
      <c r="AA78" s="153" t="s">
        <v>1173</v>
      </c>
      <c r="AB78" s="102" t="s">
        <v>977</v>
      </c>
      <c r="AC78" s="103" t="s">
        <v>978</v>
      </c>
    </row>
    <row r="79" customFormat="false" ht="15" hidden="false" customHeight="true" outlineLevel="0" collapsed="false">
      <c r="A79" s="46"/>
      <c r="B79" s="46"/>
      <c r="C79" s="46" t="s">
        <v>1126</v>
      </c>
      <c r="D79" s="46"/>
      <c r="E79" s="29" t="s">
        <v>1305</v>
      </c>
      <c r="F79" s="29"/>
      <c r="G79" s="29"/>
      <c r="H79" s="29"/>
      <c r="I79" s="29"/>
      <c r="J79" s="29"/>
      <c r="K79" s="29"/>
      <c r="L79" s="154"/>
      <c r="M79" s="154"/>
      <c r="N79" s="154"/>
      <c r="O79" s="154"/>
      <c r="P79" s="154"/>
      <c r="Q79" s="124" t="s">
        <v>1008</v>
      </c>
      <c r="R79" s="29"/>
      <c r="S79" s="46"/>
      <c r="T79" s="108"/>
      <c r="U79" s="46"/>
      <c r="V79" s="46"/>
      <c r="W79" s="109"/>
      <c r="X79" s="46"/>
      <c r="Y79" s="46" t="s">
        <v>1306</v>
      </c>
      <c r="Z79" s="111"/>
      <c r="AA79" s="30"/>
      <c r="AB79" s="29"/>
      <c r="AC79" s="155" t="s">
        <v>1307</v>
      </c>
    </row>
    <row r="80" customFormat="false" ht="15" hidden="false" customHeight="true" outlineLevel="0" collapsed="false">
      <c r="A80" s="40"/>
      <c r="B80" s="128" t="n">
        <v>9079</v>
      </c>
      <c r="C80" s="156" t="s">
        <v>1308</v>
      </c>
      <c r="D80" s="128" t="s">
        <v>1309</v>
      </c>
      <c r="E80" s="94" t="s">
        <v>325</v>
      </c>
      <c r="F80" s="39" t="s">
        <v>1310</v>
      </c>
      <c r="G80" s="42" t="s">
        <v>987</v>
      </c>
      <c r="H80" s="95" t="s">
        <v>770</v>
      </c>
      <c r="I80" s="39" t="s">
        <v>324</v>
      </c>
      <c r="J80" s="39" t="s">
        <v>473</v>
      </c>
      <c r="K80" s="39" t="s">
        <v>593</v>
      </c>
      <c r="L80" s="96" t="n">
        <v>1</v>
      </c>
      <c r="M80" s="96" t="n">
        <v>1</v>
      </c>
      <c r="N80" s="96" t="n">
        <v>1</v>
      </c>
      <c r="O80" s="96" t="n">
        <v>1</v>
      </c>
      <c r="P80" s="97" t="n">
        <f aca="false" t="array" ref="P80:P80">SUM(L80:O80/4)</f>
        <v>1</v>
      </c>
      <c r="Q80" s="118" t="s">
        <v>1008</v>
      </c>
      <c r="R80" s="39" t="s">
        <v>1310</v>
      </c>
      <c r="S80" s="98" t="n">
        <v>45139</v>
      </c>
      <c r="T80" s="98" t="n">
        <f aca="false">S80+366*3</f>
        <v>46237</v>
      </c>
      <c r="U80" s="42" t="s">
        <v>1311</v>
      </c>
      <c r="V80" s="98" t="n">
        <v>45689</v>
      </c>
      <c r="W80" s="99" t="n">
        <f aca="false">SUM(V80+186)</f>
        <v>45875</v>
      </c>
      <c r="X80" s="100" t="n">
        <v>1</v>
      </c>
      <c r="Y80" s="40" t="s">
        <v>1312</v>
      </c>
      <c r="Z80" s="101" t="s">
        <v>19</v>
      </c>
      <c r="AA80" s="101" t="s">
        <v>1313</v>
      </c>
      <c r="AB80" s="102" t="s">
        <v>977</v>
      </c>
      <c r="AC80" s="103" t="s">
        <v>978</v>
      </c>
    </row>
    <row r="81" customFormat="false" ht="15" hidden="false" customHeight="true" outlineLevel="0" collapsed="false">
      <c r="A81" s="46"/>
      <c r="B81" s="129" t="n">
        <v>9036</v>
      </c>
      <c r="C81" s="46" t="n">
        <v>9024</v>
      </c>
      <c r="D81" s="50" t="s">
        <v>1301</v>
      </c>
      <c r="E81" s="29" t="s">
        <v>1314</v>
      </c>
      <c r="F81" s="45" t="s">
        <v>1315</v>
      </c>
      <c r="G81" s="50" t="n">
        <v>6140317</v>
      </c>
      <c r="H81" s="45" t="s">
        <v>1082</v>
      </c>
      <c r="I81" s="45" t="s">
        <v>294</v>
      </c>
      <c r="J81" s="45" t="s">
        <v>474</v>
      </c>
      <c r="K81" s="45" t="s">
        <v>594</v>
      </c>
      <c r="L81" s="105" t="n">
        <v>1</v>
      </c>
      <c r="M81" s="105" t="n">
        <v>1</v>
      </c>
      <c r="N81" s="105" t="n">
        <v>1</v>
      </c>
      <c r="O81" s="105" t="n">
        <v>1</v>
      </c>
      <c r="P81" s="106" t="n">
        <f aca="false" t="array" ref="P81:P81">SUM(L81:O81/4)</f>
        <v>1</v>
      </c>
      <c r="Q81" s="124" t="s">
        <v>1008</v>
      </c>
      <c r="R81" s="45" t="s">
        <v>1315</v>
      </c>
      <c r="S81" s="108" t="n">
        <v>45292</v>
      </c>
      <c r="T81" s="108" t="n">
        <f aca="false">S81+366*3</f>
        <v>46390</v>
      </c>
      <c r="U81" s="50" t="s">
        <v>1316</v>
      </c>
      <c r="V81" s="108" t="n">
        <v>45689</v>
      </c>
      <c r="W81" s="109" t="n">
        <f aca="false">SUM(V81+186)</f>
        <v>45875</v>
      </c>
      <c r="X81" s="110" t="n">
        <v>1</v>
      </c>
      <c r="Y81" s="50" t="n">
        <v>6140317</v>
      </c>
      <c r="Z81" s="111" t="s">
        <v>19</v>
      </c>
      <c r="AA81" s="150" t="s">
        <v>1173</v>
      </c>
      <c r="AB81" s="112" t="s">
        <v>977</v>
      </c>
      <c r="AC81" s="113" t="s">
        <v>978</v>
      </c>
    </row>
    <row r="82" customFormat="false" ht="15" hidden="false" customHeight="true" outlineLevel="0" collapsed="false">
      <c r="A82" s="40"/>
      <c r="B82" s="128" t="n">
        <v>9080</v>
      </c>
      <c r="C82" s="130" t="s">
        <v>1228</v>
      </c>
      <c r="D82" s="128" t="s">
        <v>466</v>
      </c>
      <c r="E82" s="157" t="s">
        <v>466</v>
      </c>
      <c r="F82" s="39" t="s">
        <v>1317</v>
      </c>
      <c r="G82" s="42"/>
      <c r="H82" s="95" t="s">
        <v>771</v>
      </c>
      <c r="I82" s="39" t="s">
        <v>327</v>
      </c>
      <c r="J82" s="39" t="s">
        <v>475</v>
      </c>
      <c r="K82" s="39" t="s">
        <v>595</v>
      </c>
      <c r="L82" s="96" t="n">
        <v>1</v>
      </c>
      <c r="M82" s="96" t="n">
        <v>1</v>
      </c>
      <c r="N82" s="96" t="n">
        <v>1</v>
      </c>
      <c r="O82" s="96" t="n">
        <v>1</v>
      </c>
      <c r="P82" s="97" t="n">
        <f aca="false" t="array" ref="P82:P82">SUM(L82:O82/4)</f>
        <v>1</v>
      </c>
      <c r="Q82" s="118" t="s">
        <v>1008</v>
      </c>
      <c r="R82" s="39" t="s">
        <v>1317</v>
      </c>
      <c r="S82" s="98" t="n">
        <v>45352</v>
      </c>
      <c r="T82" s="98" t="n">
        <f aca="false">S82+366*3</f>
        <v>46450</v>
      </c>
      <c r="U82" s="42" t="s">
        <v>1318</v>
      </c>
      <c r="V82" s="98" t="n">
        <v>45689</v>
      </c>
      <c r="W82" s="99" t="n">
        <f aca="false">SUM(V82+186)</f>
        <v>45875</v>
      </c>
      <c r="X82" s="100" t="n">
        <v>1</v>
      </c>
      <c r="Y82" s="42" t="s">
        <v>1319</v>
      </c>
      <c r="Z82" s="101" t="s">
        <v>19</v>
      </c>
      <c r="AA82" s="101" t="s">
        <v>1320</v>
      </c>
      <c r="AB82" s="102" t="s">
        <v>977</v>
      </c>
      <c r="AC82" s="103" t="s">
        <v>978</v>
      </c>
    </row>
    <row r="83" customFormat="false" ht="15" hidden="false" customHeight="true" outlineLevel="0" collapsed="false">
      <c r="A83" s="46"/>
      <c r="B83" s="46"/>
      <c r="C83" s="46" t="s">
        <v>1126</v>
      </c>
      <c r="D83" s="46"/>
      <c r="E83" s="29" t="s">
        <v>331</v>
      </c>
      <c r="F83" s="45" t="s">
        <v>1321</v>
      </c>
      <c r="G83" s="50"/>
      <c r="H83" s="45" t="s">
        <v>772</v>
      </c>
      <c r="I83" s="45" t="s">
        <v>330</v>
      </c>
      <c r="J83" s="45" t="s">
        <v>476</v>
      </c>
      <c r="K83" s="45" t="s">
        <v>596</v>
      </c>
      <c r="L83" s="105" t="n">
        <v>1</v>
      </c>
      <c r="M83" s="105" t="n">
        <v>1</v>
      </c>
      <c r="N83" s="105" t="n">
        <v>1</v>
      </c>
      <c r="O83" s="105" t="n">
        <v>1</v>
      </c>
      <c r="P83" s="106" t="n">
        <f aca="false" t="array" ref="P83:P83">SUM(L83:O83/4)</f>
        <v>1</v>
      </c>
      <c r="Q83" s="124" t="s">
        <v>1008</v>
      </c>
      <c r="R83" s="45" t="s">
        <v>1321</v>
      </c>
      <c r="S83" s="108" t="n">
        <v>45352</v>
      </c>
      <c r="T83" s="108" t="n">
        <f aca="false">S83+366*3</f>
        <v>46450</v>
      </c>
      <c r="U83" s="50" t="s">
        <v>1322</v>
      </c>
      <c r="V83" s="108" t="n">
        <v>45689</v>
      </c>
      <c r="W83" s="109" t="n">
        <f aca="false">SUM(V83+186)</f>
        <v>45875</v>
      </c>
      <c r="X83" s="110" t="n">
        <v>1</v>
      </c>
      <c r="Y83" s="50" t="s">
        <v>1323</v>
      </c>
      <c r="Z83" s="111" t="s">
        <v>19</v>
      </c>
      <c r="AA83" s="30" t="s">
        <v>1324</v>
      </c>
      <c r="AB83" s="112" t="s">
        <v>977</v>
      </c>
      <c r="AC83" s="113" t="s">
        <v>978</v>
      </c>
    </row>
    <row r="84" customFormat="false" ht="15" hidden="false" customHeight="true" outlineLevel="0" collapsed="false">
      <c r="A84" s="40"/>
      <c r="B84" s="130" t="n">
        <v>9076</v>
      </c>
      <c r="C84" s="130" t="s">
        <v>1228</v>
      </c>
      <c r="D84" s="128" t="s">
        <v>1325</v>
      </c>
      <c r="E84" s="157" t="s">
        <v>334</v>
      </c>
      <c r="F84" s="39" t="s">
        <v>1326</v>
      </c>
      <c r="G84" s="27"/>
      <c r="H84" s="95" t="s">
        <v>773</v>
      </c>
      <c r="I84" s="39" t="s">
        <v>333</v>
      </c>
      <c r="J84" s="39" t="s">
        <v>477</v>
      </c>
      <c r="K84" s="39" t="s">
        <v>597</v>
      </c>
      <c r="L84" s="96" t="n">
        <v>1</v>
      </c>
      <c r="M84" s="96" t="n">
        <v>1</v>
      </c>
      <c r="N84" s="96" t="n">
        <v>1</v>
      </c>
      <c r="O84" s="96" t="n">
        <v>1</v>
      </c>
      <c r="P84" s="97" t="n">
        <f aca="false" t="array" ref="P84:P84">SUM(L84:O84/4)</f>
        <v>1</v>
      </c>
      <c r="Q84" s="118" t="s">
        <v>1008</v>
      </c>
      <c r="R84" s="39" t="s">
        <v>1326</v>
      </c>
      <c r="S84" s="98" t="n">
        <v>45352</v>
      </c>
      <c r="T84" s="98" t="n">
        <f aca="false">S84+366*3</f>
        <v>46450</v>
      </c>
      <c r="U84" s="42" t="s">
        <v>1327</v>
      </c>
      <c r="V84" s="98" t="n">
        <v>45689</v>
      </c>
      <c r="W84" s="99" t="n">
        <f aca="false">SUM(V84+186)</f>
        <v>45875</v>
      </c>
      <c r="X84" s="100" t="n">
        <v>1</v>
      </c>
      <c r="Y84" s="40" t="s">
        <v>1328</v>
      </c>
      <c r="Z84" s="101" t="s">
        <v>19</v>
      </c>
      <c r="AA84" s="101" t="s">
        <v>1329</v>
      </c>
      <c r="AB84" s="102" t="s">
        <v>977</v>
      </c>
      <c r="AC84" s="103" t="s">
        <v>978</v>
      </c>
    </row>
    <row r="85" customFormat="false" ht="15" hidden="false" customHeight="true" outlineLevel="0" collapsed="false">
      <c r="A85" s="46"/>
      <c r="B85" s="46" t="n">
        <v>9017</v>
      </c>
      <c r="C85" s="46"/>
      <c r="D85" s="129" t="s">
        <v>1330</v>
      </c>
      <c r="E85" s="59" t="s">
        <v>336</v>
      </c>
      <c r="F85" s="45" t="s">
        <v>1331</v>
      </c>
      <c r="G85" s="29"/>
      <c r="H85" s="45" t="s">
        <v>774</v>
      </c>
      <c r="I85" s="45" t="s">
        <v>1332</v>
      </c>
      <c r="J85" s="45" t="s">
        <v>478</v>
      </c>
      <c r="K85" s="45" t="s">
        <v>598</v>
      </c>
      <c r="L85" s="105" t="n">
        <v>1</v>
      </c>
      <c r="M85" s="105" t="n">
        <v>1</v>
      </c>
      <c r="N85" s="105" t="n">
        <v>1</v>
      </c>
      <c r="O85" s="105" t="n">
        <v>1</v>
      </c>
      <c r="P85" s="106" t="n">
        <f aca="false" t="array" ref="P85:P85">SUM(L85:O85/4)</f>
        <v>1</v>
      </c>
      <c r="Q85" s="124" t="s">
        <v>1008</v>
      </c>
      <c r="R85" s="45" t="s">
        <v>1331</v>
      </c>
      <c r="S85" s="108" t="n">
        <v>45444</v>
      </c>
      <c r="T85" s="108" t="n">
        <f aca="false">S85+366*3</f>
        <v>46542</v>
      </c>
      <c r="U85" s="50" t="s">
        <v>1333</v>
      </c>
      <c r="V85" s="108" t="n">
        <v>45689</v>
      </c>
      <c r="W85" s="109" t="n">
        <f aca="false">SUM(V85+186)</f>
        <v>45875</v>
      </c>
      <c r="X85" s="110" t="n">
        <v>1</v>
      </c>
      <c r="Y85" s="46" t="s">
        <v>1334</v>
      </c>
      <c r="Z85" s="111" t="s">
        <v>19</v>
      </c>
      <c r="AA85" s="30" t="s">
        <v>1335</v>
      </c>
      <c r="AB85" s="112" t="s">
        <v>977</v>
      </c>
      <c r="AC85" s="113" t="s">
        <v>978</v>
      </c>
    </row>
    <row r="86" customFormat="false" ht="15" hidden="false" customHeight="true" outlineLevel="0" collapsed="false">
      <c r="A86" s="40"/>
      <c r="B86" s="130" t="n">
        <v>9081</v>
      </c>
      <c r="C86" s="130" t="s">
        <v>1228</v>
      </c>
      <c r="D86" s="92" t="s">
        <v>1336</v>
      </c>
      <c r="E86" s="157" t="s">
        <v>1337</v>
      </c>
      <c r="F86" s="39" t="s">
        <v>1338</v>
      </c>
      <c r="G86" s="27"/>
      <c r="H86" s="95" t="s">
        <v>1339</v>
      </c>
      <c r="I86" s="39" t="s">
        <v>1340</v>
      </c>
      <c r="J86" s="39" t="s">
        <v>1341</v>
      </c>
      <c r="K86" s="39" t="s">
        <v>1342</v>
      </c>
      <c r="L86" s="96" t="n">
        <v>1</v>
      </c>
      <c r="M86" s="96" t="n">
        <v>1</v>
      </c>
      <c r="N86" s="96" t="n">
        <v>1</v>
      </c>
      <c r="O86" s="96" t="n">
        <v>1</v>
      </c>
      <c r="P86" s="97" t="n">
        <f aca="false" t="array" ref="P86:P86">SUM(L86:O86/4)</f>
        <v>1</v>
      </c>
      <c r="Q86" s="118" t="s">
        <v>1008</v>
      </c>
      <c r="R86" s="39" t="s">
        <v>1338</v>
      </c>
      <c r="S86" s="98" t="n">
        <v>45708</v>
      </c>
      <c r="T86" s="98" t="n">
        <f aca="false">S86+366*3</f>
        <v>46806</v>
      </c>
      <c r="U86" s="40" t="s">
        <v>988</v>
      </c>
      <c r="V86" s="98" t="n">
        <v>45708</v>
      </c>
      <c r="W86" s="99" t="n">
        <f aca="false">SUM(V86+186)</f>
        <v>45894</v>
      </c>
      <c r="X86" s="40" t="s">
        <v>988</v>
      </c>
      <c r="Y86" s="40" t="s">
        <v>1343</v>
      </c>
      <c r="Z86" s="101" t="s">
        <v>19</v>
      </c>
      <c r="AA86" s="101" t="s">
        <v>1344</v>
      </c>
      <c r="AB86" s="27"/>
      <c r="AC86" s="158"/>
    </row>
    <row r="87" customFormat="false" ht="15" hidden="false" customHeight="true" outlineLevel="0" collapsed="false">
      <c r="A87" s="46"/>
      <c r="B87" s="46" t="n">
        <v>7001</v>
      </c>
      <c r="C87" s="147" t="s">
        <v>1046</v>
      </c>
      <c r="D87" s="104" t="s">
        <v>1047</v>
      </c>
      <c r="E87" s="29" t="s">
        <v>1345</v>
      </c>
      <c r="F87" s="45" t="s">
        <v>1346</v>
      </c>
      <c r="G87" s="29"/>
      <c r="H87" s="45" t="s">
        <v>756</v>
      </c>
      <c r="I87" s="45" t="s">
        <v>275</v>
      </c>
      <c r="J87" s="45" t="s">
        <v>443</v>
      </c>
      <c r="K87" s="45" t="s">
        <v>577</v>
      </c>
      <c r="L87" s="105" t="n">
        <v>1</v>
      </c>
      <c r="M87" s="105" t="n">
        <v>1</v>
      </c>
      <c r="N87" s="105" t="n">
        <v>1</v>
      </c>
      <c r="O87" s="105" t="n">
        <v>1</v>
      </c>
      <c r="P87" s="106" t="n">
        <f aca="false" t="array" ref="P87:P87">SUM(L87:O87/4)</f>
        <v>1</v>
      </c>
      <c r="Q87" s="124" t="s">
        <v>1008</v>
      </c>
      <c r="R87" s="45" t="s">
        <v>1346</v>
      </c>
      <c r="S87" s="108" t="n">
        <v>45505</v>
      </c>
      <c r="T87" s="108" t="n">
        <f aca="false">S87+366*3</f>
        <v>46603</v>
      </c>
      <c r="U87" s="50" t="s">
        <v>1347</v>
      </c>
      <c r="V87" s="108" t="n">
        <v>45689</v>
      </c>
      <c r="W87" s="109" t="n">
        <f aca="false">SUM(V87+186)</f>
        <v>45875</v>
      </c>
      <c r="X87" s="127" t="n">
        <v>0</v>
      </c>
      <c r="Y87" s="50" t="s">
        <v>1062</v>
      </c>
      <c r="Z87" s="111" t="s">
        <v>19</v>
      </c>
      <c r="AA87" s="30" t="s">
        <v>1063</v>
      </c>
      <c r="AB87" s="112" t="s">
        <v>977</v>
      </c>
      <c r="AC87" s="155"/>
    </row>
    <row r="88" customFormat="false" ht="15" hidden="false" customHeight="true" outlineLevel="0" collapsed="false">
      <c r="A88" s="40"/>
      <c r="B88" s="128" t="n">
        <v>9039</v>
      </c>
      <c r="C88" s="159" t="s">
        <v>1348</v>
      </c>
      <c r="D88" s="128" t="s">
        <v>1297</v>
      </c>
      <c r="E88" s="160" t="s">
        <v>1349</v>
      </c>
      <c r="F88" s="39" t="s">
        <v>1272</v>
      </c>
      <c r="G88" s="27"/>
      <c r="H88" s="95" t="s">
        <v>755</v>
      </c>
      <c r="I88" s="39" t="s">
        <v>277</v>
      </c>
      <c r="J88" s="39" t="s">
        <v>446</v>
      </c>
      <c r="K88" s="39" t="s">
        <v>579</v>
      </c>
      <c r="L88" s="96" t="n">
        <v>1</v>
      </c>
      <c r="M88" s="96" t="n">
        <v>1</v>
      </c>
      <c r="N88" s="96" t="n">
        <v>1</v>
      </c>
      <c r="O88" s="96" t="n">
        <v>1</v>
      </c>
      <c r="P88" s="97" t="n">
        <f aca="false" t="array" ref="P88:P88">SUM(L88:O88/4)</f>
        <v>1</v>
      </c>
      <c r="Q88" s="118" t="s">
        <v>1008</v>
      </c>
      <c r="R88" s="39" t="s">
        <v>1272</v>
      </c>
      <c r="S88" s="98" t="n">
        <v>45505</v>
      </c>
      <c r="T88" s="98" t="n">
        <f aca="false">S88+366*3</f>
        <v>46603</v>
      </c>
      <c r="U88" s="42" t="s">
        <v>1350</v>
      </c>
      <c r="V88" s="98" t="n">
        <v>45689</v>
      </c>
      <c r="W88" s="99" t="n">
        <f aca="false">SUM(V88+186)</f>
        <v>45875</v>
      </c>
      <c r="X88" s="100" t="n">
        <v>1</v>
      </c>
      <c r="Y88" s="40" t="s">
        <v>1274</v>
      </c>
      <c r="Z88" s="101" t="s">
        <v>19</v>
      </c>
      <c r="AA88" s="101" t="s">
        <v>1275</v>
      </c>
      <c r="AB88" s="27"/>
      <c r="AC88" s="103" t="s">
        <v>978</v>
      </c>
    </row>
    <row r="89" customFormat="false" ht="15" hidden="false" customHeight="true" outlineLevel="0" collapsed="false">
      <c r="A89" s="46"/>
      <c r="B89" s="129" t="n">
        <v>9002</v>
      </c>
      <c r="C89" s="46"/>
      <c r="D89" s="129" t="s">
        <v>1351</v>
      </c>
      <c r="E89" s="29" t="s">
        <v>1352</v>
      </c>
      <c r="F89" s="45" t="s">
        <v>1353</v>
      </c>
      <c r="G89" s="29"/>
      <c r="H89" s="45" t="s">
        <v>1354</v>
      </c>
      <c r="I89" s="45" t="s">
        <v>1355</v>
      </c>
      <c r="J89" s="45" t="s">
        <v>1356</v>
      </c>
      <c r="K89" s="45" t="s">
        <v>1357</v>
      </c>
      <c r="L89" s="105" t="n">
        <v>1</v>
      </c>
      <c r="M89" s="105" t="n">
        <v>1</v>
      </c>
      <c r="N89" s="105" t="n">
        <v>1</v>
      </c>
      <c r="O89" s="105" t="n">
        <v>1</v>
      </c>
      <c r="P89" s="106" t="n">
        <f aca="false" t="array" ref="P89:P89">SUM(L89:O89/4)</f>
        <v>1</v>
      </c>
      <c r="Q89" s="124" t="s">
        <v>1008</v>
      </c>
      <c r="R89" s="45" t="s">
        <v>1353</v>
      </c>
      <c r="S89" s="108" t="n">
        <v>45505</v>
      </c>
      <c r="T89" s="108" t="n">
        <f aca="false">S89+366*3</f>
        <v>46603</v>
      </c>
      <c r="U89" s="50" t="s">
        <v>1358</v>
      </c>
      <c r="V89" s="108" t="n">
        <v>45689</v>
      </c>
      <c r="W89" s="109" t="n">
        <f aca="false">SUM(V89+186)</f>
        <v>45875</v>
      </c>
      <c r="X89" s="110" t="n">
        <v>1</v>
      </c>
      <c r="Y89" s="46" t="s">
        <v>1359</v>
      </c>
      <c r="Z89" s="111" t="s">
        <v>19</v>
      </c>
      <c r="AA89" s="30" t="s">
        <v>1360</v>
      </c>
      <c r="AB89" s="29"/>
      <c r="AC89" s="155"/>
    </row>
    <row r="90" customFormat="false" ht="15" hidden="false" customHeight="true" outlineLevel="0" collapsed="false">
      <c r="A90" s="40"/>
      <c r="B90" s="128" t="n">
        <v>9046</v>
      </c>
      <c r="C90" s="130" t="n">
        <v>9059</v>
      </c>
      <c r="D90" s="128" t="s">
        <v>1361</v>
      </c>
      <c r="E90" s="128" t="s">
        <v>1361</v>
      </c>
      <c r="F90" s="39" t="s">
        <v>1362</v>
      </c>
      <c r="G90" s="27"/>
      <c r="H90" s="95" t="s">
        <v>1363</v>
      </c>
      <c r="I90" s="39" t="s">
        <v>1364</v>
      </c>
      <c r="J90" s="39" t="s">
        <v>1365</v>
      </c>
      <c r="K90" s="39" t="s">
        <v>1366</v>
      </c>
      <c r="L90" s="96" t="n">
        <v>1</v>
      </c>
      <c r="M90" s="96" t="n">
        <v>1</v>
      </c>
      <c r="N90" s="96" t="n">
        <v>1</v>
      </c>
      <c r="O90" s="96" t="n">
        <v>1</v>
      </c>
      <c r="P90" s="97" t="n">
        <f aca="false" t="array" ref="P90:P90">SUM(L90:O90/4)</f>
        <v>1</v>
      </c>
      <c r="Q90" s="118" t="s">
        <v>1008</v>
      </c>
      <c r="R90" s="39" t="s">
        <v>1362</v>
      </c>
      <c r="S90" s="98" t="n">
        <v>45566</v>
      </c>
      <c r="T90" s="98" t="n">
        <f aca="false">S90+366*3</f>
        <v>46664</v>
      </c>
      <c r="U90" s="40" t="s">
        <v>988</v>
      </c>
      <c r="V90" s="98" t="n">
        <v>45566</v>
      </c>
      <c r="W90" s="99" t="n">
        <f aca="false">SUM(V90+186)</f>
        <v>45752</v>
      </c>
      <c r="X90" s="40" t="s">
        <v>988</v>
      </c>
      <c r="Y90" s="40" t="s">
        <v>988</v>
      </c>
      <c r="Z90" s="161" t="s">
        <v>20</v>
      </c>
      <c r="AA90" s="153"/>
      <c r="AB90" s="102" t="s">
        <v>977</v>
      </c>
      <c r="AC90" s="158"/>
    </row>
    <row r="91" customFormat="false" ht="15" hidden="false" customHeight="true" outlineLevel="0" collapsed="false">
      <c r="A91" s="46"/>
      <c r="B91" s="129" t="n">
        <v>9083</v>
      </c>
      <c r="C91" s="46" t="s">
        <v>1228</v>
      </c>
      <c r="D91" s="129" t="s">
        <v>1367</v>
      </c>
      <c r="E91" s="59" t="s">
        <v>1368</v>
      </c>
      <c r="F91" s="45" t="s">
        <v>1369</v>
      </c>
      <c r="G91" s="29"/>
      <c r="H91" s="45" t="s">
        <v>1370</v>
      </c>
      <c r="I91" s="45" t="s">
        <v>1371</v>
      </c>
      <c r="J91" s="45" t="s">
        <v>1372</v>
      </c>
      <c r="K91" s="45" t="s">
        <v>1373</v>
      </c>
      <c r="L91" s="105" t="n">
        <v>1</v>
      </c>
      <c r="M91" s="105" t="n">
        <v>1</v>
      </c>
      <c r="N91" s="105" t="n">
        <v>1</v>
      </c>
      <c r="O91" s="105" t="n">
        <v>1</v>
      </c>
      <c r="P91" s="106" t="n">
        <f aca="false" t="array" ref="P91:P91">SUM(L91:O91/4)</f>
        <v>1</v>
      </c>
      <c r="Q91" s="124" t="s">
        <v>1008</v>
      </c>
      <c r="R91" s="45" t="s">
        <v>1369</v>
      </c>
      <c r="S91" s="108" t="n">
        <v>45597</v>
      </c>
      <c r="T91" s="108" t="n">
        <f aca="false">S91+366*3</f>
        <v>46695</v>
      </c>
      <c r="U91" s="46" t="s">
        <v>988</v>
      </c>
      <c r="V91" s="108" t="n">
        <v>45597</v>
      </c>
      <c r="W91" s="109" t="n">
        <f aca="false">SUM(V91+186)</f>
        <v>45783</v>
      </c>
      <c r="X91" s="46" t="s">
        <v>988</v>
      </c>
      <c r="Y91" s="46" t="s">
        <v>1374</v>
      </c>
      <c r="Z91" s="111" t="s">
        <v>19</v>
      </c>
      <c r="AA91" s="120" t="s">
        <v>1375</v>
      </c>
      <c r="AB91" s="112" t="s">
        <v>977</v>
      </c>
      <c r="AC91" s="113" t="s">
        <v>978</v>
      </c>
    </row>
    <row r="92" customFormat="false" ht="15" hidden="false" customHeight="true" outlineLevel="0" collapsed="false">
      <c r="A92" s="40"/>
      <c r="B92" s="128" t="n">
        <v>9084</v>
      </c>
      <c r="C92" s="128" t="n">
        <v>9013</v>
      </c>
      <c r="D92" s="128" t="s">
        <v>1376</v>
      </c>
      <c r="E92" s="162" t="s">
        <v>1377</v>
      </c>
      <c r="F92" s="39" t="s">
        <v>1378</v>
      </c>
      <c r="G92" s="27"/>
      <c r="H92" s="95" t="s">
        <v>1379</v>
      </c>
      <c r="I92" s="39" t="s">
        <v>1380</v>
      </c>
      <c r="J92" s="39" t="s">
        <v>1381</v>
      </c>
      <c r="K92" s="39" t="s">
        <v>1382</v>
      </c>
      <c r="L92" s="96" t="n">
        <v>1</v>
      </c>
      <c r="M92" s="96" t="n">
        <v>1</v>
      </c>
      <c r="N92" s="96" t="n">
        <v>1</v>
      </c>
      <c r="O92" s="96" t="n">
        <v>1</v>
      </c>
      <c r="P92" s="97" t="n">
        <f aca="false" t="array" ref="P92:P92">SUM(L92:O92/4)</f>
        <v>1</v>
      </c>
      <c r="Q92" s="118" t="s">
        <v>1008</v>
      </c>
      <c r="R92" s="39" t="s">
        <v>1378</v>
      </c>
      <c r="S92" s="98" t="n">
        <v>45597</v>
      </c>
      <c r="T92" s="98" t="n">
        <f aca="false">S92+366*3</f>
        <v>46695</v>
      </c>
      <c r="U92" s="40" t="s">
        <v>988</v>
      </c>
      <c r="V92" s="98" t="n">
        <v>45597</v>
      </c>
      <c r="W92" s="99" t="n">
        <f aca="false">SUM(V92+186)</f>
        <v>45783</v>
      </c>
      <c r="X92" s="40" t="s">
        <v>988</v>
      </c>
      <c r="Y92" s="40" t="s">
        <v>1383</v>
      </c>
      <c r="Z92" s="101" t="s">
        <v>19</v>
      </c>
      <c r="AA92" s="116" t="s">
        <v>1384</v>
      </c>
      <c r="AB92" s="102" t="s">
        <v>977</v>
      </c>
      <c r="AC92" s="103" t="s">
        <v>978</v>
      </c>
    </row>
    <row r="93" customFormat="false" ht="15" hidden="false" customHeight="true" outlineLevel="0" collapsed="false">
      <c r="A93" s="46"/>
      <c r="B93" s="129" t="n">
        <v>9085</v>
      </c>
      <c r="C93" s="46" t="n">
        <v>9035</v>
      </c>
      <c r="D93" s="129" t="s">
        <v>1385</v>
      </c>
      <c r="E93" s="29" t="s">
        <v>1385</v>
      </c>
      <c r="F93" s="45" t="s">
        <v>1386</v>
      </c>
      <c r="G93" s="29"/>
      <c r="H93" s="45" t="s">
        <v>1387</v>
      </c>
      <c r="I93" s="45" t="s">
        <v>1388</v>
      </c>
      <c r="J93" s="45" t="s">
        <v>1389</v>
      </c>
      <c r="K93" s="45" t="s">
        <v>1390</v>
      </c>
      <c r="L93" s="105" t="n">
        <v>1</v>
      </c>
      <c r="M93" s="105" t="n">
        <v>1</v>
      </c>
      <c r="N93" s="105" t="n">
        <v>1</v>
      </c>
      <c r="O93" s="105" t="n">
        <v>1</v>
      </c>
      <c r="P93" s="106" t="n">
        <f aca="false" t="array" ref="P93:P93">SUM(L93:O93/4)</f>
        <v>1</v>
      </c>
      <c r="Q93" s="124" t="s">
        <v>1008</v>
      </c>
      <c r="R93" s="45" t="s">
        <v>1386</v>
      </c>
      <c r="S93" s="108" t="n">
        <v>45708</v>
      </c>
      <c r="T93" s="108" t="n">
        <f aca="false">S93+366*3</f>
        <v>46806</v>
      </c>
      <c r="U93" s="46" t="s">
        <v>988</v>
      </c>
      <c r="V93" s="108" t="n">
        <v>45708</v>
      </c>
      <c r="W93" s="109" t="n">
        <f aca="false">SUM(V93+186)</f>
        <v>45894</v>
      </c>
      <c r="X93" s="46" t="s">
        <v>988</v>
      </c>
      <c r="Y93" s="46" t="s">
        <v>1391</v>
      </c>
      <c r="Z93" s="111" t="s">
        <v>19</v>
      </c>
      <c r="AA93" s="120" t="s">
        <v>1392</v>
      </c>
      <c r="AB93" s="112" t="s">
        <v>977</v>
      </c>
      <c r="AC93" s="113" t="s">
        <v>978</v>
      </c>
    </row>
    <row r="94" customFormat="false" ht="15" hidden="false" customHeight="true" outlineLevel="0" collapsed="false">
      <c r="A94" s="40"/>
      <c r="B94" s="128" t="n">
        <v>9086</v>
      </c>
      <c r="C94" s="130" t="n">
        <v>9021</v>
      </c>
      <c r="D94" s="128" t="s">
        <v>1393</v>
      </c>
      <c r="E94" s="157" t="s">
        <v>1393</v>
      </c>
      <c r="F94" s="39" t="s">
        <v>1338</v>
      </c>
      <c r="G94" s="27"/>
      <c r="H94" s="95" t="s">
        <v>1339</v>
      </c>
      <c r="I94" s="39" t="s">
        <v>1340</v>
      </c>
      <c r="J94" s="39" t="s">
        <v>1341</v>
      </c>
      <c r="K94" s="39" t="s">
        <v>1342</v>
      </c>
      <c r="L94" s="96" t="n">
        <v>1</v>
      </c>
      <c r="M94" s="96" t="n">
        <v>1</v>
      </c>
      <c r="N94" s="96" t="n">
        <v>1</v>
      </c>
      <c r="O94" s="96" t="n">
        <v>1</v>
      </c>
      <c r="P94" s="97" t="n">
        <f aca="false" t="array" ref="P94:P94">SUM(L94:O94/4)</f>
        <v>1</v>
      </c>
      <c r="Q94" s="118" t="s">
        <v>1008</v>
      </c>
      <c r="R94" s="39" t="s">
        <v>1338</v>
      </c>
      <c r="S94" s="98" t="n">
        <v>45708</v>
      </c>
      <c r="T94" s="98" t="n">
        <f aca="false">S94+366*3</f>
        <v>46806</v>
      </c>
      <c r="U94" s="40" t="s">
        <v>988</v>
      </c>
      <c r="V94" s="98" t="n">
        <v>45708</v>
      </c>
      <c r="W94" s="99" t="n">
        <f aca="false">SUM(V94+186)</f>
        <v>45894</v>
      </c>
      <c r="X94" s="40" t="s">
        <v>988</v>
      </c>
      <c r="Y94" s="40" t="s">
        <v>1394</v>
      </c>
      <c r="Z94" s="101" t="s">
        <v>19</v>
      </c>
      <c r="AA94" s="116" t="s">
        <v>1344</v>
      </c>
      <c r="AB94" s="102" t="s">
        <v>977</v>
      </c>
      <c r="AC94" s="103" t="s">
        <v>978</v>
      </c>
    </row>
    <row r="95" customFormat="false" ht="15" hidden="false" customHeight="true" outlineLevel="0" collapsed="false">
      <c r="A95" s="46"/>
      <c r="B95" s="46"/>
      <c r="C95" s="46" t="s">
        <v>1126</v>
      </c>
      <c r="D95" s="46"/>
      <c r="E95" s="29" t="s">
        <v>1395</v>
      </c>
      <c r="F95" s="45" t="s">
        <v>1396</v>
      </c>
      <c r="G95" s="29"/>
      <c r="H95" s="30" t="s">
        <v>1008</v>
      </c>
      <c r="I95" s="30" t="s">
        <v>1008</v>
      </c>
      <c r="J95" s="30" t="s">
        <v>1008</v>
      </c>
      <c r="K95" s="30" t="s">
        <v>1008</v>
      </c>
      <c r="L95" s="105" t="n">
        <v>1</v>
      </c>
      <c r="M95" s="105" t="n">
        <v>1</v>
      </c>
      <c r="N95" s="105" t="n">
        <v>1</v>
      </c>
      <c r="O95" s="105" t="n">
        <v>1</v>
      </c>
      <c r="P95" s="106" t="n">
        <f aca="false" t="array" ref="P95:P95">SUM(L95:O95/4)</f>
        <v>1</v>
      </c>
      <c r="Q95" s="124" t="s">
        <v>1008</v>
      </c>
      <c r="R95" s="45" t="s">
        <v>1396</v>
      </c>
      <c r="S95" s="108" t="n">
        <v>45517</v>
      </c>
      <c r="T95" s="108" t="n">
        <f aca="false">S95+366*3</f>
        <v>46615</v>
      </c>
      <c r="U95" s="46" t="s">
        <v>988</v>
      </c>
      <c r="V95" s="108" t="n">
        <v>45517</v>
      </c>
      <c r="W95" s="109" t="s">
        <v>988</v>
      </c>
      <c r="X95" s="46" t="s">
        <v>988</v>
      </c>
      <c r="Y95" s="46" t="s">
        <v>1397</v>
      </c>
      <c r="Z95" s="111" t="s">
        <v>19</v>
      </c>
      <c r="AA95" s="150"/>
      <c r="AB95" s="112" t="s">
        <v>977</v>
      </c>
      <c r="AC95" s="113" t="s">
        <v>978</v>
      </c>
    </row>
    <row r="96" customFormat="false" ht="15" hidden="false" customHeight="true" outlineLevel="0" collapsed="false">
      <c r="A96" s="40"/>
      <c r="B96" s="128" t="n">
        <v>9087</v>
      </c>
      <c r="C96" s="130" t="s">
        <v>1398</v>
      </c>
      <c r="D96" s="128" t="s">
        <v>1399</v>
      </c>
      <c r="E96" s="157" t="s">
        <v>1400</v>
      </c>
      <c r="F96" s="39" t="s">
        <v>1401</v>
      </c>
      <c r="G96" s="27"/>
      <c r="H96" s="95" t="s">
        <v>1402</v>
      </c>
      <c r="I96" s="39" t="s">
        <v>1403</v>
      </c>
      <c r="J96" s="39" t="s">
        <v>1404</v>
      </c>
      <c r="K96" s="39" t="s">
        <v>1405</v>
      </c>
      <c r="L96" s="96" t="n">
        <v>1</v>
      </c>
      <c r="M96" s="96" t="n">
        <v>1</v>
      </c>
      <c r="N96" s="96" t="n">
        <v>1</v>
      </c>
      <c r="O96" s="96" t="n">
        <v>1</v>
      </c>
      <c r="P96" s="97" t="n">
        <f aca="false" t="array" ref="P96:P96">SUM(L96:O96/4)</f>
        <v>1</v>
      </c>
      <c r="Q96" s="118" t="s">
        <v>1008</v>
      </c>
      <c r="R96" s="39" t="s">
        <v>1401</v>
      </c>
      <c r="S96" s="98" t="n">
        <v>45717</v>
      </c>
      <c r="T96" s="98" t="n">
        <f aca="false">S96+366*3</f>
        <v>46815</v>
      </c>
      <c r="U96" s="40" t="s">
        <v>988</v>
      </c>
      <c r="V96" s="98" t="n">
        <v>45717</v>
      </c>
      <c r="W96" s="99" t="n">
        <f aca="false">SUM(V96+186)</f>
        <v>45903</v>
      </c>
      <c r="X96" s="40" t="s">
        <v>988</v>
      </c>
      <c r="Y96" s="40" t="s">
        <v>1406</v>
      </c>
      <c r="Z96" s="101" t="s">
        <v>19</v>
      </c>
      <c r="AA96" s="153" t="s">
        <v>1173</v>
      </c>
      <c r="AB96" s="102" t="s">
        <v>977</v>
      </c>
      <c r="AC96" s="103" t="s">
        <v>978</v>
      </c>
    </row>
    <row r="97" customFormat="false" ht="15" hidden="false" customHeight="true" outlineLevel="0" collapsed="false">
      <c r="A97" s="46"/>
      <c r="B97" s="129" t="n">
        <v>9088</v>
      </c>
      <c r="C97" s="46" t="s">
        <v>1398</v>
      </c>
      <c r="D97" s="129" t="s">
        <v>1407</v>
      </c>
      <c r="E97" s="29" t="s">
        <v>1408</v>
      </c>
      <c r="F97" s="45" t="s">
        <v>1171</v>
      </c>
      <c r="G97" s="29"/>
      <c r="H97" s="45" t="s">
        <v>1409</v>
      </c>
      <c r="I97" s="45" t="s">
        <v>1410</v>
      </c>
      <c r="J97" s="45" t="s">
        <v>1411</v>
      </c>
      <c r="K97" s="45" t="s">
        <v>1412</v>
      </c>
      <c r="L97" s="105" t="n">
        <v>1</v>
      </c>
      <c r="M97" s="105" t="n">
        <v>1</v>
      </c>
      <c r="N97" s="105" t="n">
        <v>1</v>
      </c>
      <c r="O97" s="105" t="n">
        <v>1</v>
      </c>
      <c r="P97" s="106" t="n">
        <f aca="false" t="array" ref="P97:P97">SUM(L97:O97/4)</f>
        <v>1</v>
      </c>
      <c r="Q97" s="124" t="s">
        <v>1008</v>
      </c>
      <c r="R97" s="45" t="s">
        <v>1171</v>
      </c>
      <c r="S97" s="108" t="n">
        <v>45748</v>
      </c>
      <c r="T97" s="108" t="n">
        <f aca="false">S97+366*3</f>
        <v>46846</v>
      </c>
      <c r="U97" s="46" t="s">
        <v>988</v>
      </c>
      <c r="V97" s="108" t="n">
        <v>45748</v>
      </c>
      <c r="W97" s="109" t="n">
        <f aca="false">SUM(V97+186)</f>
        <v>45934</v>
      </c>
      <c r="X97" s="46" t="s">
        <v>988</v>
      </c>
      <c r="Y97" s="46" t="s">
        <v>1413</v>
      </c>
      <c r="Z97" s="111" t="s">
        <v>19</v>
      </c>
      <c r="AA97" s="120" t="s">
        <v>1414</v>
      </c>
      <c r="AB97" s="112" t="s">
        <v>977</v>
      </c>
      <c r="AC97" s="113" t="s">
        <v>978</v>
      </c>
    </row>
    <row r="98" customFormat="false" ht="15" hidden="false" customHeight="true" outlineLevel="0" collapsed="false">
      <c r="A98" s="40"/>
      <c r="B98" s="128" t="n">
        <v>9089</v>
      </c>
      <c r="C98" s="130" t="s">
        <v>1398</v>
      </c>
      <c r="D98" s="128" t="s">
        <v>1415</v>
      </c>
      <c r="E98" s="157" t="s">
        <v>1416</v>
      </c>
      <c r="F98" s="39" t="s">
        <v>1417</v>
      </c>
      <c r="G98" s="27"/>
      <c r="H98" s="95" t="s">
        <v>1418</v>
      </c>
      <c r="I98" s="39" t="s">
        <v>1419</v>
      </c>
      <c r="J98" s="39" t="s">
        <v>1420</v>
      </c>
      <c r="K98" s="39" t="s">
        <v>1421</v>
      </c>
      <c r="L98" s="96" t="n">
        <v>1</v>
      </c>
      <c r="M98" s="96" t="n">
        <v>1</v>
      </c>
      <c r="N98" s="96" t="n">
        <v>1</v>
      </c>
      <c r="O98" s="96" t="n">
        <v>1</v>
      </c>
      <c r="P98" s="97" t="n">
        <f aca="false" t="array" ref="P98:P98">SUM(L98:O98/4)</f>
        <v>1</v>
      </c>
      <c r="Q98" s="118" t="s">
        <v>1008</v>
      </c>
      <c r="R98" s="39" t="s">
        <v>1417</v>
      </c>
      <c r="S98" s="98" t="n">
        <v>45748</v>
      </c>
      <c r="T98" s="98" t="n">
        <f aca="false">S98+366*3</f>
        <v>46846</v>
      </c>
      <c r="U98" s="40" t="s">
        <v>988</v>
      </c>
      <c r="V98" s="98" t="n">
        <v>45748</v>
      </c>
      <c r="W98" s="99" t="n">
        <f aca="false">SUM(V98+186)</f>
        <v>45934</v>
      </c>
      <c r="X98" s="40" t="s">
        <v>988</v>
      </c>
      <c r="Y98" s="40" t="s">
        <v>1422</v>
      </c>
      <c r="Z98" s="101" t="s">
        <v>19</v>
      </c>
      <c r="AA98" s="116" t="s">
        <v>1423</v>
      </c>
      <c r="AB98" s="102" t="s">
        <v>977</v>
      </c>
      <c r="AC98" s="103" t="s">
        <v>978</v>
      </c>
    </row>
    <row r="99" customFormat="false" ht="15" hidden="false" customHeight="true" outlineLevel="0" collapsed="false">
      <c r="A99" s="46"/>
      <c r="B99" s="129" t="n">
        <v>9090</v>
      </c>
      <c r="C99" s="46" t="s">
        <v>1398</v>
      </c>
      <c r="D99" s="129" t="s">
        <v>1424</v>
      </c>
      <c r="E99" s="29" t="s">
        <v>1425</v>
      </c>
      <c r="F99" s="45" t="s">
        <v>1426</v>
      </c>
      <c r="G99" s="29"/>
      <c r="H99" s="45" t="s">
        <v>1427</v>
      </c>
      <c r="I99" s="45" t="s">
        <v>1428</v>
      </c>
      <c r="J99" s="45" t="s">
        <v>1429</v>
      </c>
      <c r="K99" s="45" t="s">
        <v>1430</v>
      </c>
      <c r="L99" s="105" t="n">
        <v>1</v>
      </c>
      <c r="M99" s="105" t="n">
        <v>1</v>
      </c>
      <c r="N99" s="105" t="n">
        <v>1</v>
      </c>
      <c r="O99" s="105" t="n">
        <v>1</v>
      </c>
      <c r="P99" s="106" t="n">
        <f aca="false" t="array" ref="P99:P99">SUM(L99:O99/4)</f>
        <v>1</v>
      </c>
      <c r="Q99" s="124" t="s">
        <v>1008</v>
      </c>
      <c r="R99" s="45" t="s">
        <v>1426</v>
      </c>
      <c r="S99" s="108" t="n">
        <v>45778</v>
      </c>
      <c r="T99" s="108" t="n">
        <f aca="false">S99+366*3</f>
        <v>46876</v>
      </c>
      <c r="U99" s="46" t="s">
        <v>988</v>
      </c>
      <c r="V99" s="108" t="n">
        <v>45778</v>
      </c>
      <c r="W99" s="109" t="n">
        <f aca="false">SUM(V99+186)</f>
        <v>45964</v>
      </c>
      <c r="X99" s="46" t="s">
        <v>988</v>
      </c>
      <c r="Y99" s="46"/>
      <c r="Z99" s="111" t="s">
        <v>19</v>
      </c>
      <c r="AA99" s="150" t="s">
        <v>1173</v>
      </c>
      <c r="AB99" s="112"/>
      <c r="AC99" s="113" t="s">
        <v>978</v>
      </c>
    </row>
    <row r="100" customFormat="false" ht="15" hidden="false" customHeight="true" outlineLevel="0" collapsed="false">
      <c r="A100" s="40" t="s">
        <v>1248</v>
      </c>
      <c r="B100" s="128" t="n">
        <v>9078</v>
      </c>
      <c r="C100" s="130" t="s">
        <v>1228</v>
      </c>
      <c r="D100" s="128" t="s">
        <v>1431</v>
      </c>
      <c r="E100" s="162" t="s">
        <v>1431</v>
      </c>
      <c r="F100" s="39"/>
      <c r="G100" s="27"/>
      <c r="H100" s="95"/>
      <c r="I100" s="39"/>
      <c r="J100" s="39"/>
      <c r="K100" s="39"/>
      <c r="L100" s="96"/>
      <c r="M100" s="96"/>
      <c r="N100" s="96"/>
      <c r="O100" s="96"/>
      <c r="P100" s="97"/>
      <c r="Q100" s="118"/>
      <c r="R100" s="39"/>
      <c r="S100" s="98"/>
      <c r="T100" s="98"/>
      <c r="U100" s="40"/>
      <c r="V100" s="98"/>
      <c r="W100" s="99"/>
      <c r="X100" s="40"/>
      <c r="Y100" s="40"/>
      <c r="Z100" s="101"/>
      <c r="AA100" s="153"/>
      <c r="AB100" s="102"/>
      <c r="AC100" s="103"/>
    </row>
    <row r="101" customFormat="false" ht="15" hidden="false" customHeight="true" outlineLevel="0" collapsed="false">
      <c r="A101" s="46"/>
      <c r="B101" s="129" t="n">
        <v>9082</v>
      </c>
      <c r="C101" s="46" t="n">
        <v>9058</v>
      </c>
      <c r="D101" s="129" t="s">
        <v>1432</v>
      </c>
      <c r="E101" s="163"/>
      <c r="F101" s="45"/>
      <c r="G101" s="29"/>
      <c r="H101" s="45"/>
      <c r="I101" s="45"/>
      <c r="J101" s="45"/>
      <c r="K101" s="45"/>
      <c r="L101" s="105"/>
      <c r="M101" s="105"/>
      <c r="N101" s="105"/>
      <c r="O101" s="105"/>
      <c r="P101" s="106"/>
      <c r="Q101" s="124"/>
      <c r="R101" s="45"/>
      <c r="S101" s="108"/>
      <c r="T101" s="108"/>
      <c r="U101" s="46"/>
      <c r="V101" s="108"/>
      <c r="W101" s="109"/>
      <c r="X101" s="46"/>
      <c r="Y101" s="46"/>
      <c r="Z101" s="111"/>
      <c r="AA101" s="150"/>
      <c r="AB101" s="112"/>
      <c r="AC101" s="113"/>
    </row>
    <row r="102" customFormat="false" ht="15" hidden="false" customHeight="true" outlineLevel="0" collapsed="false">
      <c r="A102" s="40"/>
      <c r="B102" s="128" t="n">
        <v>9027</v>
      </c>
      <c r="C102" s="130" t="s">
        <v>1228</v>
      </c>
      <c r="D102" s="128" t="s">
        <v>1433</v>
      </c>
      <c r="E102" s="162" t="s">
        <v>1433</v>
      </c>
      <c r="F102" s="39"/>
      <c r="G102" s="27"/>
      <c r="H102" s="95"/>
      <c r="I102" s="39"/>
      <c r="J102" s="39"/>
      <c r="K102" s="39"/>
      <c r="L102" s="96"/>
      <c r="M102" s="96"/>
      <c r="N102" s="96"/>
      <c r="O102" s="96"/>
      <c r="P102" s="97"/>
      <c r="Q102" s="118"/>
      <c r="R102" s="39"/>
      <c r="S102" s="98"/>
      <c r="T102" s="98"/>
      <c r="U102" s="40"/>
      <c r="V102" s="98"/>
      <c r="W102" s="99"/>
      <c r="X102" s="40"/>
      <c r="Y102" s="40"/>
      <c r="Z102" s="101"/>
      <c r="AA102" s="153"/>
      <c r="AB102" s="102"/>
      <c r="AC102" s="103"/>
    </row>
    <row r="104" customFormat="false" ht="13.5" hidden="false" customHeight="true" outlineLevel="0" collapsed="false">
      <c r="A104" s="164" t="s">
        <v>1434</v>
      </c>
      <c r="B104" s="164"/>
      <c r="C104" s="164"/>
    </row>
    <row r="105" customFormat="false" ht="13.5" hidden="false" customHeight="true" outlineLevel="0" collapsed="false">
      <c r="A105" s="165"/>
      <c r="B105" s="166" t="s">
        <v>1126</v>
      </c>
      <c r="C105" s="166"/>
    </row>
    <row r="106" customFormat="false" ht="13.5" hidden="false" customHeight="true" outlineLevel="0" collapsed="false">
      <c r="A106" s="167"/>
      <c r="B106" s="166" t="s">
        <v>1435</v>
      </c>
      <c r="C106" s="166"/>
    </row>
    <row r="107" customFormat="false" ht="13.5" hidden="false" customHeight="true" outlineLevel="0" collapsed="false">
      <c r="A107" s="168"/>
      <c r="B107" s="166" t="s">
        <v>1436</v>
      </c>
      <c r="C107" s="166"/>
    </row>
    <row r="108" customFormat="false" ht="13.5" hidden="false" customHeight="true" outlineLevel="0" collapsed="false">
      <c r="A108" s="169"/>
      <c r="B108" s="166" t="s">
        <v>1437</v>
      </c>
      <c r="C108" s="166"/>
    </row>
    <row r="109" customFormat="false" ht="13.5" hidden="false" customHeight="true" outlineLevel="0" collapsed="false">
      <c r="A109" s="170"/>
      <c r="B109" s="166" t="s">
        <v>1438</v>
      </c>
      <c r="C109" s="166"/>
    </row>
  </sheetData>
  <autoFilter ref="A3:AC102"/>
  <mergeCells count="50">
    <mergeCell ref="A1:AB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P2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A12:AA13"/>
    <mergeCell ref="AA15:AA16"/>
    <mergeCell ref="AA17:AA19"/>
    <mergeCell ref="A18:A19"/>
    <mergeCell ref="A36:A37"/>
    <mergeCell ref="Y36:Y37"/>
    <mergeCell ref="Z36:Z37"/>
    <mergeCell ref="AA36:AA37"/>
    <mergeCell ref="AB36:AB37"/>
    <mergeCell ref="AC36:AC37"/>
    <mergeCell ref="A39:A40"/>
    <mergeCell ref="AA39:AA40"/>
    <mergeCell ref="AB39:AB40"/>
    <mergeCell ref="AC39:AC40"/>
    <mergeCell ref="A41:A42"/>
    <mergeCell ref="Y41:Y42"/>
    <mergeCell ref="Z41:Z42"/>
    <mergeCell ref="AA41:AA42"/>
    <mergeCell ref="A104:C104"/>
    <mergeCell ref="B105:C105"/>
    <mergeCell ref="B106:C106"/>
    <mergeCell ref="B107:C107"/>
    <mergeCell ref="B108:C108"/>
    <mergeCell ref="B109:C109"/>
  </mergeCells>
  <conditionalFormatting sqref="Z4:Z102">
    <cfRule type="cellIs" priority="2" operator="equal" aboveAverage="0" equalAverage="0" bottom="0" percent="0" rank="0" text="" dxfId="25">
      <formula>"SPDA Conforme"</formula>
    </cfRule>
    <cfRule type="cellIs" priority="3" operator="equal" aboveAverage="0" equalAverage="0" bottom="0" percent="0" rank="0" text="" dxfId="26">
      <formula>"Em andamento"</formula>
    </cfRule>
    <cfRule type="cellIs" priority="4" operator="equal" aboveAverage="0" equalAverage="0" bottom="0" percent="0" rank="0" text="" dxfId="27">
      <formula>"Paralisado/Novo Projeto"</formula>
    </cfRule>
    <cfRule type="cellIs" priority="5" operator="equal" aboveAverage="0" equalAverage="0" bottom="0" percent="0" rank="0" text="" dxfId="28">
      <formula>"SPDA Não Conforme"</formula>
    </cfRule>
  </conditionalFormatting>
  <conditionalFormatting sqref="L4:P102">
    <cfRule type="colorScale" priority="6">
      <colorScale>
        <cfvo type="num" val="0"/>
        <cfvo type="num" val="0.5"/>
        <cfvo type="num" val="1"/>
        <color rgb="FFD03B3B"/>
        <color rgb="FFFAB219"/>
        <color rgb="FF0CA30C"/>
      </colorScale>
    </cfRule>
  </conditionalFormatting>
  <conditionalFormatting sqref="T4:T102">
    <cfRule type="expression" priority="7" aboveAverage="0" equalAverage="0" bottom="0" percent="0" rank="0" text="" dxfId="28">
      <formula>AND(ISNUMBER(T4),T4&lt;TODAY())</formula>
    </cfRule>
    <cfRule type="expression" priority="8" aboveAverage="0" equalAverage="0" bottom="0" percent="0" rank="0" text="" dxfId="29">
      <formula>AND(ISNUMBER(T4),T4&gt;=TODAY(),T4&lt;=TODAY()+90)</formula>
    </cfRule>
  </conditionalFormatting>
  <conditionalFormatting sqref="W4:W102">
    <cfRule type="expression" priority="9" aboveAverage="0" equalAverage="0" bottom="0" percent="0" rank="0" text="" dxfId="28">
      <formula>AND(ISNUMBER(W4),W4&lt;TODAY())</formula>
    </cfRule>
    <cfRule type="expression" priority="10" aboveAverage="0" equalAverage="0" bottom="0" percent="0" rank="0" text="" dxfId="29">
      <formula>AND(ISNUMBER(W4),W4&gt;=TODAY(),W4&lt;=TODAY()+90)</formula>
    </cfRule>
  </conditionalFormatting>
  <printOptions headings="false" gridLines="false" gridLinesSet="true" horizontalCentered="true" verticalCentered="true"/>
  <pageMargins left="0.3" right="0.3" top="0.400694444444444" bottom="0.4" header="0.315277777777778" footer="0.315277777777778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&amp;R&amp;"Aptos,Regular"&amp;1 &amp;K008000  Informação Pública /  Public Information#_x005F_x000d_</oddHeader>
    <oddFooter>&amp;R&amp;"Aptos,Regular"&amp;K008000 _x005F_x000d_# J Mendes - Nome: K19-204-FER-LD-001-R01 -Lista de Documentos Rev.03.xlsx Aberto Por: filipe.souza@jmendes.com.br Data: 2026-08-11T10:27:55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40"/>
  </cols>
  <sheetData>
    <row r="1" customFormat="false" ht="409.5" hidden="false" customHeight="true" outlineLevel="0" collapsed="false">
      <c r="A1" s="171" t="s">
        <v>1439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1997-01-10T22:22:50Z</dcterms:created>
  <dc:creator>Microsoft</dc:creator>
  <dc:description/>
  <dc:language>en-US</dc:language>
  <cp:lastModifiedBy/>
  <cp:lastPrinted>2026-08-03T20:17:57Z</cp:lastPrinted>
  <dcterms:modified xsi:type="dcterms:W3CDTF">2026-08-19T19:41:52Z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